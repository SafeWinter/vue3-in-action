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E:\mydesktop\"/>
    </mc:Choice>
  </mc:AlternateContent>
  <xr:revisionPtr revIDLastSave="0" documentId="13_ncr:1_{A6EDDDB4-40D7-428F-80F2-3BB835CD9F16}" xr6:coauthVersionLast="47" xr6:coauthVersionMax="47" xr10:uidLastSave="{00000000-0000-0000-0000-000000000000}"/>
  <bookViews>
    <workbookView xWindow="2280" yWindow="1350" windowWidth="21600" windowHeight="13530" xr2:uid="{0F313D2F-97BE-4BF4-B2A8-448A7E720F06}"/>
  </bookViews>
  <sheets>
    <sheet name="Vue3_new" sheetId="1" r:id="rId1"/>
    <sheet name="TypeScript开发实战" sheetId="3" r:id="rId2"/>
    <sheet name="env作用域链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3" l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5" i="3"/>
  <c r="D26" i="3"/>
  <c r="D27" i="3"/>
  <c r="D28" i="3"/>
  <c r="D29" i="3"/>
  <c r="D30" i="3"/>
  <c r="D31" i="3"/>
  <c r="D32" i="3"/>
  <c r="D33" i="3"/>
  <c r="D34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3" i="3"/>
  <c r="A52" i="3"/>
  <c r="D60" i="1"/>
  <c r="C59" i="1" s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4" i="1"/>
  <c r="D3" i="1"/>
  <c r="C36" i="1" l="1"/>
  <c r="C2" i="1"/>
  <c r="A103" i="1" s="1"/>
  <c r="C5" i="1"/>
</calcChain>
</file>

<file path=xl/sharedStrings.xml><?xml version="1.0" encoding="utf-8"?>
<sst xmlns="http://schemas.openxmlformats.org/spreadsheetml/2006/main" count="214" uniqueCount="163">
  <si>
    <t>Title</t>
    <phoneticPr fontId="2" type="noConversion"/>
  </si>
  <si>
    <t>Minutes</t>
    <phoneticPr fontId="2" type="noConversion"/>
  </si>
  <si>
    <t>Seconds</t>
    <phoneticPr fontId="2" type="noConversion"/>
  </si>
  <si>
    <t>Duration</t>
    <phoneticPr fontId="2" type="noConversion"/>
  </si>
  <si>
    <t>Day</t>
    <phoneticPr fontId="2" type="noConversion"/>
  </si>
  <si>
    <t>Vue3（新）- 谢杰</t>
    <phoneticPr fontId="2" type="noConversion"/>
  </si>
  <si>
    <t>第一章 导言</t>
  </si>
  <si>
    <t>1. 学前须知</t>
  </si>
  <si>
    <t>2. 课程说明</t>
  </si>
  <si>
    <t>第二章 快速入门</t>
  </si>
  <si>
    <t>1. Vue基本介绍</t>
  </si>
  <si>
    <t>2. 搭建工程</t>
  </si>
  <si>
    <t>3. 模板语法</t>
  </si>
  <si>
    <t>4. 响应式基础part1</t>
  </si>
  <si>
    <t>5. 响应式基础part2</t>
  </si>
  <si>
    <t>6. [补充]响应式常用API</t>
  </si>
  <si>
    <t>7. 计算属性</t>
  </si>
  <si>
    <t>8. 类与样式绑定</t>
  </si>
  <si>
    <t>9. 条件与列表渲染</t>
  </si>
  <si>
    <t>10. 事件处理</t>
  </si>
  <si>
    <t>11. 表单处理</t>
  </si>
  <si>
    <t>12. [练习]购物车实战演练</t>
  </si>
  <si>
    <t>13. 生命周期</t>
  </si>
  <si>
    <t>14. 侦听器part1</t>
  </si>
  <si>
    <t>15. 侦听器part2</t>
  </si>
  <si>
    <t>16. [练习]待办事项实战演练part1</t>
  </si>
  <si>
    <t>17. [练习]待办事项实战演练part2</t>
  </si>
  <si>
    <t>18. 组件介绍</t>
  </si>
  <si>
    <t>19. Props</t>
  </si>
  <si>
    <t>20. 自定义事件</t>
  </si>
  <si>
    <t>21. 组件v-model</t>
  </si>
  <si>
    <t>22. 插槽</t>
  </si>
  <si>
    <t>23. [练习]重构待办事项</t>
  </si>
  <si>
    <t>24. 前端路由介绍</t>
  </si>
  <si>
    <t>25. [练习]用户管理系统part1</t>
  </si>
  <si>
    <t>26. [练习]用户管理系统part2</t>
  </si>
  <si>
    <t>27. KeepAlive内置组件</t>
  </si>
  <si>
    <t>28. 状态管理库介绍</t>
  </si>
  <si>
    <t>29. [练习]任务管理器</t>
  </si>
  <si>
    <t>30. 使用组件库</t>
  </si>
  <si>
    <t>第三章 深入本质</t>
  </si>
  <si>
    <t>1. 本章导读-必看</t>
  </si>
  <si>
    <t>2. 虚拟DOM的本质</t>
  </si>
  <si>
    <t>3. 模板的本质</t>
  </si>
  <si>
    <t>4. 组件树和虚拟DOM树</t>
  </si>
  <si>
    <t>5. 数据拦截本质</t>
  </si>
  <si>
    <t>6. 响应式数据的本质</t>
  </si>
  <si>
    <t>7. 响应式的本质</t>
  </si>
  <si>
    <t>8. 响应式和组件渲染</t>
  </si>
  <si>
    <t>9. 实现响应式系统part1</t>
  </si>
  <si>
    <t>10. 实现响应式系统part2</t>
  </si>
  <si>
    <t>11. 中场插播: 图解Effect</t>
  </si>
  <si>
    <t>12. 实现响应式系统part3</t>
  </si>
  <si>
    <t>13. 手写computed</t>
  </si>
  <si>
    <t>14. 手写watch</t>
  </si>
  <si>
    <t>15. 指令的本质</t>
  </si>
  <si>
    <t>16. 插槽的本质</t>
  </si>
  <si>
    <t>17. v-model的本质</t>
  </si>
  <si>
    <t>18. setup语法标签</t>
  </si>
  <si>
    <t>19. 组件生命周期</t>
  </si>
  <si>
    <t>20. [补充]KeepAlive生命周期</t>
  </si>
  <si>
    <t>21. KeepAlive的本质</t>
  </si>
  <si>
    <t>22. key的本质</t>
  </si>
  <si>
    <t>第四章 细节补充</t>
  </si>
  <si>
    <t>2. [vue]属性透传</t>
  </si>
  <si>
    <t>3. [vue]依赖注入</t>
  </si>
  <si>
    <t>4. [vue]组合式函数</t>
  </si>
  <si>
    <t>5. [vue]自定义指令</t>
  </si>
  <si>
    <t>6. [vue]插件</t>
  </si>
  <si>
    <t>7. [vue]Transition</t>
  </si>
  <si>
    <t>8. [vue]TransitionGroup</t>
  </si>
  <si>
    <t>9. [vue]Teleort</t>
  </si>
  <si>
    <t>10. [vue]异步组件</t>
  </si>
  <si>
    <t>11. [vue]Suspense</t>
  </si>
  <si>
    <t>12. [router]路由模式</t>
  </si>
  <si>
    <t>13. [router]路由零碎知识</t>
  </si>
  <si>
    <t>14. [router]路由匹配语法</t>
  </si>
  <si>
    <t>15. [router]路由组件传参</t>
  </si>
  <si>
    <t>16. [router]内置组件和函数</t>
  </si>
  <si>
    <t>17. [router]导航守卫</t>
  </si>
  <si>
    <t>18. [router]过渡特效</t>
  </si>
  <si>
    <t>19. [router]滚动行为</t>
  </si>
  <si>
    <t>20. [router]动态路由</t>
  </si>
  <si>
    <t>21. [state]通信方式总结</t>
  </si>
  <si>
    <t>22. [state]Pinia自定义插件</t>
  </si>
  <si>
    <t>23. [场景补充]封装树形组件</t>
  </si>
  <si>
    <t>24. [场景补充]自定义ref实现防抖</t>
  </si>
  <si>
    <t>25. [场景补充]懒加载</t>
  </si>
  <si>
    <t>26. [场景补充]虚拟列表</t>
  </si>
  <si>
    <t>27. [场景补充]虚拟列表优化part1</t>
  </si>
  <si>
    <t>28. [场景补充]虚拟列表优化part2</t>
  </si>
  <si>
    <t>29. [第三方库]VueUse</t>
  </si>
  <si>
    <t>30. [第三方库]vuedraggable</t>
  </si>
  <si>
    <t>31. [第三方库]vue-drag-resize</t>
  </si>
  <si>
    <t>32. [第三方库]vue-chartjs</t>
  </si>
  <si>
    <t>33. [第三方库]vuelidate</t>
  </si>
  <si>
    <t>34. [第三方库]vue3-lazyload</t>
  </si>
  <si>
    <t>35. [场景补充]websocket聊天室</t>
  </si>
  <si>
    <t>36. [vite]认识Vite</t>
  </si>
  <si>
    <t>37. [vite]Vite配置文件</t>
  </si>
  <si>
    <t>38. [vite]依赖预构建</t>
  </si>
  <si>
    <t>39. [vite]构建生产版本</t>
  </si>
  <si>
    <t>40. [vite]环境变量与模式</t>
  </si>
  <si>
    <t>41. [vite]CLI</t>
  </si>
  <si>
    <t>42. [vite]Vite插件</t>
  </si>
  <si>
    <t>43. Vue课程收官</t>
  </si>
  <si>
    <t>重点</t>
    <phoneticPr fontId="2" type="noConversion"/>
  </si>
  <si>
    <t>computed</t>
    <phoneticPr fontId="2" type="noConversion"/>
  </si>
  <si>
    <t>学习imooc</t>
    <phoneticPr fontId="2" type="noConversion"/>
  </si>
  <si>
    <t>5 7</t>
    <phoneticPr fontId="2" type="noConversion"/>
  </si>
  <si>
    <t>6 7</t>
    <phoneticPr fontId="2" type="noConversion"/>
  </si>
  <si>
    <t>7 8</t>
    <phoneticPr fontId="2" type="noConversion"/>
  </si>
  <si>
    <t>8 9</t>
    <phoneticPr fontId="2" type="noConversion"/>
  </si>
  <si>
    <t>10 11 12</t>
    <phoneticPr fontId="2" type="noConversion"/>
  </si>
  <si>
    <t>10 11</t>
    <phoneticPr fontId="2" type="noConversion"/>
  </si>
  <si>
    <t>element-plus/ant-design-vue</t>
    <phoneticPr fontId="2" type="noConversion"/>
  </si>
  <si>
    <t>备注</t>
    <phoneticPr fontId="2" type="noConversion"/>
  </si>
  <si>
    <t>14 15</t>
    <phoneticPr fontId="2" type="noConversion"/>
  </si>
  <si>
    <t>整理笔记</t>
    <phoneticPr fontId="2" type="noConversion"/>
  </si>
  <si>
    <t>effect</t>
    <phoneticPr fontId="2" type="noConversion"/>
  </si>
  <si>
    <t>[[scope]]</t>
    <phoneticPr fontId="2" type="noConversion"/>
  </si>
  <si>
    <t>scope chain</t>
    <phoneticPr fontId="2" type="noConversion"/>
  </si>
  <si>
    <t>Global Object</t>
    <phoneticPr fontId="2" type="noConversion"/>
  </si>
  <si>
    <t>this</t>
    <phoneticPr fontId="2" type="noConversion"/>
  </si>
  <si>
    <t>window</t>
    <phoneticPr fontId="2" type="noConversion"/>
  </si>
  <si>
    <t>object</t>
    <phoneticPr fontId="2" type="noConversion"/>
  </si>
  <si>
    <t>document</t>
    <phoneticPr fontId="2" type="noConversion"/>
  </si>
  <si>
    <t>fn</t>
    <phoneticPr fontId="2" type="noConversion"/>
  </si>
  <si>
    <t>fun</t>
    <phoneticPr fontId="2" type="noConversion"/>
  </si>
  <si>
    <t>arguments</t>
    <phoneticPr fontId="2" type="noConversion"/>
  </si>
  <si>
    <t>[]</t>
    <phoneticPr fontId="2" type="noConversion"/>
  </si>
  <si>
    <t>state</t>
    <phoneticPr fontId="2" type="noConversion"/>
  </si>
  <si>
    <t>proxy</t>
    <phoneticPr fontId="2" type="noConversion"/>
  </si>
  <si>
    <t>env</t>
    <phoneticPr fontId="2" type="noConversion"/>
  </si>
  <si>
    <t>[fn]</t>
    <phoneticPr fontId="2" type="noConversion"/>
  </si>
  <si>
    <t>Activation Obj(env)</t>
    <phoneticPr fontId="2" type="noConversion"/>
  </si>
  <si>
    <t>activeEnv</t>
    <phoneticPr fontId="2" type="noConversion"/>
  </si>
  <si>
    <t>Activation Obj(fn)</t>
    <phoneticPr fontId="2" type="noConversion"/>
  </si>
  <si>
    <t>Activation Obj(effect)</t>
    <phoneticPr fontId="2" type="noConversion"/>
  </si>
  <si>
    <t>[target, key]</t>
    <phoneticPr fontId="2" type="noConversion"/>
  </si>
  <si>
    <t>track</t>
    <phoneticPr fontId="2" type="noConversion"/>
  </si>
  <si>
    <t>trigger</t>
    <phoneticPr fontId="2" type="noConversion"/>
  </si>
  <si>
    <t>Activation Obj(getter)</t>
    <phoneticPr fontId="2" type="noConversion"/>
  </si>
  <si>
    <t>getter</t>
    <phoneticPr fontId="2" type="noConversion"/>
  </si>
  <si>
    <t>Activation Obj(track)</t>
    <phoneticPr fontId="2" type="noConversion"/>
  </si>
  <si>
    <r>
      <t xml:space="preserve">[target, key, </t>
    </r>
    <r>
      <rPr>
        <sz val="11"/>
        <color rgb="FFFF0000"/>
        <rFont val="等线"/>
        <family val="3"/>
        <charset val="134"/>
        <scheme val="minor"/>
      </rPr>
      <t>activeEnv</t>
    </r>
    <r>
      <rPr>
        <sz val="11"/>
        <color theme="1"/>
        <rFont val="等线"/>
        <family val="2"/>
        <charset val="134"/>
        <scheme val="minor"/>
      </rPr>
      <t>]</t>
    </r>
    <phoneticPr fontId="2" type="noConversion"/>
  </si>
  <si>
    <t>19 20</t>
    <phoneticPr fontId="2" type="noConversion"/>
  </si>
  <si>
    <t>20 21</t>
    <phoneticPr fontId="2" type="noConversion"/>
  </si>
  <si>
    <t>学习Webpack5</t>
    <phoneticPr fontId="2" type="noConversion"/>
  </si>
  <si>
    <t>第一章：基础篇</t>
    <phoneticPr fontId="2" type="noConversion"/>
  </si>
  <si>
    <t>第二章：工程篇</t>
    <phoneticPr fontId="2" type="noConversion"/>
  </si>
  <si>
    <t>第三章：实战篇</t>
    <phoneticPr fontId="2" type="noConversion"/>
  </si>
  <si>
    <t>26 27</t>
    <phoneticPr fontId="2" type="noConversion"/>
  </si>
  <si>
    <t>27 28</t>
    <phoneticPr fontId="2" type="noConversion"/>
  </si>
  <si>
    <t>DIY补充案例</t>
    <phoneticPr fontId="2" type="noConversion"/>
  </si>
  <si>
    <t>提PR</t>
    <phoneticPr fontId="2" type="noConversion"/>
  </si>
  <si>
    <t>28 29</t>
    <phoneticPr fontId="2" type="noConversion"/>
  </si>
  <si>
    <t>增补笔记</t>
    <phoneticPr fontId="2" type="noConversion"/>
  </si>
  <si>
    <t>结合VueUse</t>
    <phoneticPr fontId="2" type="noConversion"/>
  </si>
  <si>
    <t>29 30</t>
    <phoneticPr fontId="2" type="noConversion"/>
  </si>
  <si>
    <t>使用Tanstack</t>
    <phoneticPr fontId="2" type="noConversion"/>
  </si>
  <si>
    <t>练手意义不大</t>
    <phoneticPr fontId="2" type="noConversion"/>
  </si>
  <si>
    <t>速通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</si>
</sst>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\-mm\-dd\ hh:mm"/>
    <numFmt numFmtId="177" formatCode="hh:mm:ss"/>
    <numFmt numFmtId="178" formatCode="m:ss"/>
  </numFmts>
  <fonts count="9" x14ac:knownFonts="1">
    <font>
      <sz val="11"/>
      <color theme="1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5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21" fontId="7" fillId="0" borderId="0" xfId="0" applyNumberFormat="1" applyFont="1">
      <alignment vertical="center"/>
    </xf>
    <xf numFmtId="46" fontId="4" fillId="0" borderId="0" xfId="0" applyNumberFormat="1" applyFont="1">
      <alignment vertical="center"/>
    </xf>
    <xf numFmtId="0" fontId="4" fillId="0" borderId="0" xfId="0" applyFont="1" applyAlignment="1">
      <alignment horizontal="left" vertical="center" indent="33"/>
    </xf>
    <xf numFmtId="46" fontId="5" fillId="0" borderId="0" xfId="0" applyNumberFormat="1" applyFont="1">
      <alignment vertical="center"/>
    </xf>
    <xf numFmtId="0" fontId="8" fillId="0" borderId="0" xfId="0" applyFont="1">
      <alignment vertical="center"/>
    </xf>
    <xf numFmtId="58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0" borderId="10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>
      <alignment vertical="center"/>
    </xf>
    <xf numFmtId="0" fontId="6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176" fontId="5" fillId="0" borderId="0" xfId="0" applyNumberFormat="1" applyFon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4" fillId="0" borderId="0" xfId="0" applyFont="1" applyAlignment="1">
      <alignment horizontal="left" vertical="center" indent="28"/>
    </xf>
    <xf numFmtId="176" fontId="6" fillId="0" borderId="0" xfId="0" applyNumberFormat="1" applyFo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19</xdr:row>
      <xdr:rowOff>104775</xdr:rowOff>
    </xdr:from>
    <xdr:to>
      <xdr:col>4</xdr:col>
      <xdr:colOff>0</xdr:colOff>
      <xdr:row>20</xdr:row>
      <xdr:rowOff>104775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FEF1FA8E-6972-95DF-5E0D-CE573E6939CD}"/>
            </a:ext>
          </a:extLst>
        </xdr:cNvPr>
        <xdr:cNvCxnSpPr/>
      </xdr:nvCxnSpPr>
      <xdr:spPr>
        <a:xfrm flipV="1">
          <a:off x="1476375" y="295275"/>
          <a:ext cx="809625" cy="1809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21</xdr:row>
      <xdr:rowOff>114300</xdr:rowOff>
    </xdr:from>
    <xdr:to>
      <xdr:col>6</xdr:col>
      <xdr:colOff>676275</xdr:colOff>
      <xdr:row>25</xdr:row>
      <xdr:rowOff>85725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BD6726E5-E30B-432B-9090-725E9FB9B023}"/>
            </a:ext>
          </a:extLst>
        </xdr:cNvPr>
        <xdr:cNvCxnSpPr/>
      </xdr:nvCxnSpPr>
      <xdr:spPr>
        <a:xfrm>
          <a:off x="2933700" y="676275"/>
          <a:ext cx="866775" cy="9048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</xdr:colOff>
      <xdr:row>19</xdr:row>
      <xdr:rowOff>104775</xdr:rowOff>
    </xdr:from>
    <xdr:to>
      <xdr:col>7</xdr:col>
      <xdr:colOff>9525</xdr:colOff>
      <xdr:row>20</xdr:row>
      <xdr:rowOff>95250</xdr:rowOff>
    </xdr:to>
    <xdr:cxnSp macro="">
      <xdr:nvCxnSpPr>
        <xdr:cNvPr id="6" name="直接箭头连接符 5">
          <a:extLst>
            <a:ext uri="{FF2B5EF4-FFF2-40B4-BE49-F238E27FC236}">
              <a16:creationId xmlns:a16="http://schemas.microsoft.com/office/drawing/2014/main" id="{3537E10D-105C-48BE-8DAA-35436B106173}"/>
            </a:ext>
          </a:extLst>
        </xdr:cNvPr>
        <xdr:cNvCxnSpPr/>
      </xdr:nvCxnSpPr>
      <xdr:spPr>
        <a:xfrm flipV="1">
          <a:off x="2914650" y="295275"/>
          <a:ext cx="904875" cy="171450"/>
        </a:xfrm>
        <a:prstGeom prst="straightConnector1">
          <a:avLst/>
        </a:prstGeom>
        <a:ln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</xdr:row>
      <xdr:rowOff>85725</xdr:rowOff>
    </xdr:from>
    <xdr:to>
      <xdr:col>13</xdr:col>
      <xdr:colOff>114300</xdr:colOff>
      <xdr:row>16</xdr:row>
      <xdr:rowOff>85725</xdr:rowOff>
    </xdr:to>
    <xdr:cxnSp macro="">
      <xdr:nvCxnSpPr>
        <xdr:cNvPr id="40" name="直接箭头连接符 39">
          <a:extLst>
            <a:ext uri="{FF2B5EF4-FFF2-40B4-BE49-F238E27FC236}">
              <a16:creationId xmlns:a16="http://schemas.microsoft.com/office/drawing/2014/main" id="{5D346D3E-C08D-4050-93D3-4A1E4505E48B}"/>
            </a:ext>
          </a:extLst>
        </xdr:cNvPr>
        <xdr:cNvCxnSpPr/>
      </xdr:nvCxnSpPr>
      <xdr:spPr>
        <a:xfrm flipH="1" flipV="1">
          <a:off x="6915150" y="276225"/>
          <a:ext cx="800100" cy="1809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742950</xdr:colOff>
      <xdr:row>15</xdr:row>
      <xdr:rowOff>85725</xdr:rowOff>
    </xdr:from>
    <xdr:to>
      <xdr:col>10</xdr:col>
      <xdr:colOff>266700</xdr:colOff>
      <xdr:row>16</xdr:row>
      <xdr:rowOff>123825</xdr:rowOff>
    </xdr:to>
    <xdr:cxnSp macro="">
      <xdr:nvCxnSpPr>
        <xdr:cNvPr id="41" name="直接箭头连接符 40">
          <a:extLst>
            <a:ext uri="{FF2B5EF4-FFF2-40B4-BE49-F238E27FC236}">
              <a16:creationId xmlns:a16="http://schemas.microsoft.com/office/drawing/2014/main" id="{CC300F38-7F46-4F7C-8529-9B3D8D4561F5}"/>
            </a:ext>
          </a:extLst>
        </xdr:cNvPr>
        <xdr:cNvCxnSpPr/>
      </xdr:nvCxnSpPr>
      <xdr:spPr>
        <a:xfrm flipH="1" flipV="1">
          <a:off x="5305425" y="1028700"/>
          <a:ext cx="962025" cy="228600"/>
        </a:xfrm>
        <a:prstGeom prst="straightConnector1">
          <a:avLst/>
        </a:prstGeom>
        <a:ln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17</xdr:row>
      <xdr:rowOff>104775</xdr:rowOff>
    </xdr:from>
    <xdr:to>
      <xdr:col>10</xdr:col>
      <xdr:colOff>266700</xdr:colOff>
      <xdr:row>19</xdr:row>
      <xdr:rowOff>123825</xdr:rowOff>
    </xdr:to>
    <xdr:cxnSp macro="">
      <xdr:nvCxnSpPr>
        <xdr:cNvPr id="43" name="直接箭头连接符 42">
          <a:extLst>
            <a:ext uri="{FF2B5EF4-FFF2-40B4-BE49-F238E27FC236}">
              <a16:creationId xmlns:a16="http://schemas.microsoft.com/office/drawing/2014/main" id="{0BA81E90-A32A-4577-B74A-AD9C7DC4F849}"/>
            </a:ext>
          </a:extLst>
        </xdr:cNvPr>
        <xdr:cNvCxnSpPr/>
      </xdr:nvCxnSpPr>
      <xdr:spPr>
        <a:xfrm flipH="1">
          <a:off x="5314950" y="1428750"/>
          <a:ext cx="952500" cy="400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18</xdr:row>
      <xdr:rowOff>85725</xdr:rowOff>
    </xdr:from>
    <xdr:to>
      <xdr:col>10</xdr:col>
      <xdr:colOff>276225</xdr:colOff>
      <xdr:row>25</xdr:row>
      <xdr:rowOff>123825</xdr:rowOff>
    </xdr:to>
    <xdr:cxnSp macro="">
      <xdr:nvCxnSpPr>
        <xdr:cNvPr id="46" name="直接箭头连接符 45">
          <a:extLst>
            <a:ext uri="{FF2B5EF4-FFF2-40B4-BE49-F238E27FC236}">
              <a16:creationId xmlns:a16="http://schemas.microsoft.com/office/drawing/2014/main" id="{41FD4ED4-B72B-4671-90BE-3C81ABB91329}"/>
            </a:ext>
          </a:extLst>
        </xdr:cNvPr>
        <xdr:cNvCxnSpPr/>
      </xdr:nvCxnSpPr>
      <xdr:spPr>
        <a:xfrm flipH="1">
          <a:off x="5619750" y="3448050"/>
          <a:ext cx="962025" cy="1352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123825</xdr:colOff>
      <xdr:row>3</xdr:row>
      <xdr:rowOff>0</xdr:rowOff>
    </xdr:from>
    <xdr:to>
      <xdr:col>19</xdr:col>
      <xdr:colOff>295275</xdr:colOff>
      <xdr:row>31</xdr:row>
      <xdr:rowOff>151668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78FD5609-AB56-1701-56C4-6BCD2B09B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3975" y="552450"/>
          <a:ext cx="2914650" cy="5380893"/>
        </a:xfrm>
        <a:prstGeom prst="rect">
          <a:avLst/>
        </a:prstGeom>
      </xdr:spPr>
    </xdr:pic>
    <xdr:clientData/>
  </xdr:twoCellAnchor>
  <xdr:twoCellAnchor>
    <xdr:from>
      <xdr:col>5</xdr:col>
      <xdr:colOff>200025</xdr:colOff>
      <xdr:row>11</xdr:row>
      <xdr:rowOff>104775</xdr:rowOff>
    </xdr:from>
    <xdr:to>
      <xdr:col>7</xdr:col>
      <xdr:colOff>0</xdr:colOff>
      <xdr:row>12</xdr:row>
      <xdr:rowOff>95250</xdr:rowOff>
    </xdr:to>
    <xdr:cxnSp macro="">
      <xdr:nvCxnSpPr>
        <xdr:cNvPr id="55" name="直接箭头连接符 54">
          <a:extLst>
            <a:ext uri="{FF2B5EF4-FFF2-40B4-BE49-F238E27FC236}">
              <a16:creationId xmlns:a16="http://schemas.microsoft.com/office/drawing/2014/main" id="{4543FD6A-7B6B-4839-A650-0B59752F90F8}"/>
            </a:ext>
          </a:extLst>
        </xdr:cNvPr>
        <xdr:cNvCxnSpPr/>
      </xdr:nvCxnSpPr>
      <xdr:spPr>
        <a:xfrm flipV="1">
          <a:off x="2905125" y="295275"/>
          <a:ext cx="904875" cy="171450"/>
        </a:xfrm>
        <a:prstGeom prst="straightConnector1">
          <a:avLst/>
        </a:prstGeom>
        <a:ln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</xdr:colOff>
      <xdr:row>13</xdr:row>
      <xdr:rowOff>95250</xdr:rowOff>
    </xdr:from>
    <xdr:to>
      <xdr:col>7</xdr:col>
      <xdr:colOff>0</xdr:colOff>
      <xdr:row>15</xdr:row>
      <xdr:rowOff>76200</xdr:rowOff>
    </xdr:to>
    <xdr:cxnSp macro="">
      <xdr:nvCxnSpPr>
        <xdr:cNvPr id="58" name="直接箭头连接符 57">
          <a:extLst>
            <a:ext uri="{FF2B5EF4-FFF2-40B4-BE49-F238E27FC236}">
              <a16:creationId xmlns:a16="http://schemas.microsoft.com/office/drawing/2014/main" id="{F3963C56-15E0-4264-A97D-35A7647597FD}"/>
            </a:ext>
          </a:extLst>
        </xdr:cNvPr>
        <xdr:cNvCxnSpPr/>
      </xdr:nvCxnSpPr>
      <xdr:spPr>
        <a:xfrm>
          <a:off x="2914650" y="657225"/>
          <a:ext cx="895350" cy="3619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219075</xdr:colOff>
      <xdr:row>14</xdr:row>
      <xdr:rowOff>95250</xdr:rowOff>
    </xdr:from>
    <xdr:to>
      <xdr:col>6</xdr:col>
      <xdr:colOff>676275</xdr:colOff>
      <xdr:row>19</xdr:row>
      <xdr:rowOff>66675</xdr:rowOff>
    </xdr:to>
    <xdr:cxnSp macro="">
      <xdr:nvCxnSpPr>
        <xdr:cNvPr id="61" name="直接箭头连接符 60">
          <a:extLst>
            <a:ext uri="{FF2B5EF4-FFF2-40B4-BE49-F238E27FC236}">
              <a16:creationId xmlns:a16="http://schemas.microsoft.com/office/drawing/2014/main" id="{63C06003-C59A-40D5-9CF9-A878F99720D6}"/>
            </a:ext>
          </a:extLst>
        </xdr:cNvPr>
        <xdr:cNvCxnSpPr/>
      </xdr:nvCxnSpPr>
      <xdr:spPr>
        <a:xfrm>
          <a:off x="2924175" y="847725"/>
          <a:ext cx="876300" cy="9144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219075</xdr:colOff>
      <xdr:row>15</xdr:row>
      <xdr:rowOff>104775</xdr:rowOff>
    </xdr:from>
    <xdr:to>
      <xdr:col>6</xdr:col>
      <xdr:colOff>676275</xdr:colOff>
      <xdr:row>25</xdr:row>
      <xdr:rowOff>0</xdr:rowOff>
    </xdr:to>
    <xdr:cxnSp macro="">
      <xdr:nvCxnSpPr>
        <xdr:cNvPr id="64" name="直接箭头连接符 63">
          <a:extLst>
            <a:ext uri="{FF2B5EF4-FFF2-40B4-BE49-F238E27FC236}">
              <a16:creationId xmlns:a16="http://schemas.microsoft.com/office/drawing/2014/main" id="{DFBB67CC-25FC-494F-A437-88BE9FF831FC}"/>
            </a:ext>
          </a:extLst>
        </xdr:cNvPr>
        <xdr:cNvCxnSpPr/>
      </xdr:nvCxnSpPr>
      <xdr:spPr>
        <a:xfrm>
          <a:off x="2924175" y="1047750"/>
          <a:ext cx="876300" cy="17716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104775</xdr:colOff>
      <xdr:row>11</xdr:row>
      <xdr:rowOff>104775</xdr:rowOff>
    </xdr:from>
    <xdr:to>
      <xdr:col>4</xdr:col>
      <xdr:colOff>0</xdr:colOff>
      <xdr:row>12</xdr:row>
      <xdr:rowOff>104775</xdr:rowOff>
    </xdr:to>
    <xdr:cxnSp macro="">
      <xdr:nvCxnSpPr>
        <xdr:cNvPr id="67" name="直接箭头连接符 66">
          <a:extLst>
            <a:ext uri="{FF2B5EF4-FFF2-40B4-BE49-F238E27FC236}">
              <a16:creationId xmlns:a16="http://schemas.microsoft.com/office/drawing/2014/main" id="{1C4E9434-91E1-4A1C-A16A-80031C95B165}"/>
            </a:ext>
          </a:extLst>
        </xdr:cNvPr>
        <xdr:cNvCxnSpPr/>
      </xdr:nvCxnSpPr>
      <xdr:spPr>
        <a:xfrm flipV="1">
          <a:off x="1476375" y="1800225"/>
          <a:ext cx="809625" cy="1809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7</xdr:row>
      <xdr:rowOff>104775</xdr:rowOff>
    </xdr:from>
    <xdr:to>
      <xdr:col>10</xdr:col>
      <xdr:colOff>228600</xdr:colOff>
      <xdr:row>8</xdr:row>
      <xdr:rowOff>95250</xdr:rowOff>
    </xdr:to>
    <xdr:cxnSp macro="">
      <xdr:nvCxnSpPr>
        <xdr:cNvPr id="74" name="直接箭头连接符 73">
          <a:extLst>
            <a:ext uri="{FF2B5EF4-FFF2-40B4-BE49-F238E27FC236}">
              <a16:creationId xmlns:a16="http://schemas.microsoft.com/office/drawing/2014/main" id="{F1DE0DE7-1D60-4B4C-ADA4-CD2BC0A9FE50}"/>
            </a:ext>
          </a:extLst>
        </xdr:cNvPr>
        <xdr:cNvCxnSpPr/>
      </xdr:nvCxnSpPr>
      <xdr:spPr>
        <a:xfrm flipH="1" flipV="1">
          <a:off x="5619750" y="1400175"/>
          <a:ext cx="914400" cy="171450"/>
        </a:xfrm>
        <a:prstGeom prst="straightConnector1">
          <a:avLst/>
        </a:prstGeom>
        <a:ln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885825</xdr:colOff>
      <xdr:row>10</xdr:row>
      <xdr:rowOff>95250</xdr:rowOff>
    </xdr:from>
    <xdr:to>
      <xdr:col>10</xdr:col>
      <xdr:colOff>114300</xdr:colOff>
      <xdr:row>15</xdr:row>
      <xdr:rowOff>19050</xdr:rowOff>
    </xdr:to>
    <xdr:cxnSp macro="">
      <xdr:nvCxnSpPr>
        <xdr:cNvPr id="75" name="直接箭头连接符 74">
          <a:extLst>
            <a:ext uri="{FF2B5EF4-FFF2-40B4-BE49-F238E27FC236}">
              <a16:creationId xmlns:a16="http://schemas.microsoft.com/office/drawing/2014/main" id="{3E1A2502-42DC-42FE-8A01-E53A12477E26}"/>
            </a:ext>
          </a:extLst>
        </xdr:cNvPr>
        <xdr:cNvCxnSpPr/>
      </xdr:nvCxnSpPr>
      <xdr:spPr>
        <a:xfrm flipH="1">
          <a:off x="5600700" y="1943100"/>
          <a:ext cx="819150" cy="8667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</xdr:row>
      <xdr:rowOff>104775</xdr:rowOff>
    </xdr:from>
    <xdr:to>
      <xdr:col>10</xdr:col>
      <xdr:colOff>190500</xdr:colOff>
      <xdr:row>11</xdr:row>
      <xdr:rowOff>104775</xdr:rowOff>
    </xdr:to>
    <xdr:cxnSp macro="">
      <xdr:nvCxnSpPr>
        <xdr:cNvPr id="76" name="直接箭头连接符 75">
          <a:extLst>
            <a:ext uri="{FF2B5EF4-FFF2-40B4-BE49-F238E27FC236}">
              <a16:creationId xmlns:a16="http://schemas.microsoft.com/office/drawing/2014/main" id="{55B06731-0396-4C2D-A4A2-73352CFDC73B}"/>
            </a:ext>
          </a:extLst>
        </xdr:cNvPr>
        <xdr:cNvCxnSpPr/>
      </xdr:nvCxnSpPr>
      <xdr:spPr>
        <a:xfrm flipH="1">
          <a:off x="5619750" y="1762125"/>
          <a:ext cx="876300" cy="381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876300</xdr:colOff>
      <xdr:row>11</xdr:row>
      <xdr:rowOff>123825</xdr:rowOff>
    </xdr:from>
    <xdr:to>
      <xdr:col>10</xdr:col>
      <xdr:colOff>142875</xdr:colOff>
      <xdr:row>19</xdr:row>
      <xdr:rowOff>9525</xdr:rowOff>
    </xdr:to>
    <xdr:cxnSp macro="">
      <xdr:nvCxnSpPr>
        <xdr:cNvPr id="83" name="直接箭头连接符 82">
          <a:extLst>
            <a:ext uri="{FF2B5EF4-FFF2-40B4-BE49-F238E27FC236}">
              <a16:creationId xmlns:a16="http://schemas.microsoft.com/office/drawing/2014/main" id="{5142C593-DF76-44AF-B1B6-1DEB80045626}"/>
            </a:ext>
          </a:extLst>
        </xdr:cNvPr>
        <xdr:cNvCxnSpPr/>
      </xdr:nvCxnSpPr>
      <xdr:spPr>
        <a:xfrm flipH="1">
          <a:off x="5591175" y="2162175"/>
          <a:ext cx="857250" cy="1400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12</xdr:row>
      <xdr:rowOff>95250</xdr:rowOff>
    </xdr:from>
    <xdr:to>
      <xdr:col>10</xdr:col>
      <xdr:colOff>238125</xdr:colOff>
      <xdr:row>25</xdr:row>
      <xdr:rowOff>28575</xdr:rowOff>
    </xdr:to>
    <xdr:cxnSp macro="">
      <xdr:nvCxnSpPr>
        <xdr:cNvPr id="85" name="直接箭头连接符 84">
          <a:extLst>
            <a:ext uri="{FF2B5EF4-FFF2-40B4-BE49-F238E27FC236}">
              <a16:creationId xmlns:a16="http://schemas.microsoft.com/office/drawing/2014/main" id="{96D6FBAD-63B8-406E-8FD4-C07577EDA88A}"/>
            </a:ext>
          </a:extLst>
        </xdr:cNvPr>
        <xdr:cNvCxnSpPr/>
      </xdr:nvCxnSpPr>
      <xdr:spPr>
        <a:xfrm flipH="1">
          <a:off x="5619750" y="2314575"/>
          <a:ext cx="923925" cy="23907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</xdr:row>
      <xdr:rowOff>85725</xdr:rowOff>
    </xdr:from>
    <xdr:to>
      <xdr:col>13</xdr:col>
      <xdr:colOff>114300</xdr:colOff>
      <xdr:row>8</xdr:row>
      <xdr:rowOff>85725</xdr:rowOff>
    </xdr:to>
    <xdr:cxnSp macro="">
      <xdr:nvCxnSpPr>
        <xdr:cNvPr id="91" name="直接箭头连接符 90">
          <a:extLst>
            <a:ext uri="{FF2B5EF4-FFF2-40B4-BE49-F238E27FC236}">
              <a16:creationId xmlns:a16="http://schemas.microsoft.com/office/drawing/2014/main" id="{E6CC42AF-0936-40FB-859E-439DFB0191D3}"/>
            </a:ext>
          </a:extLst>
        </xdr:cNvPr>
        <xdr:cNvCxnSpPr/>
      </xdr:nvCxnSpPr>
      <xdr:spPr>
        <a:xfrm flipH="1" flipV="1">
          <a:off x="7219950" y="2876550"/>
          <a:ext cx="80010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200025</xdr:colOff>
      <xdr:row>3</xdr:row>
      <xdr:rowOff>104775</xdr:rowOff>
    </xdr:from>
    <xdr:to>
      <xdr:col>7</xdr:col>
      <xdr:colOff>0</xdr:colOff>
      <xdr:row>4</xdr:row>
      <xdr:rowOff>95250</xdr:rowOff>
    </xdr:to>
    <xdr:cxnSp macro="">
      <xdr:nvCxnSpPr>
        <xdr:cNvPr id="92" name="直接箭头连接符 91">
          <a:extLst>
            <a:ext uri="{FF2B5EF4-FFF2-40B4-BE49-F238E27FC236}">
              <a16:creationId xmlns:a16="http://schemas.microsoft.com/office/drawing/2014/main" id="{AEB17E99-DEB8-4B0F-8238-02C926BF5B77}"/>
            </a:ext>
          </a:extLst>
        </xdr:cNvPr>
        <xdr:cNvCxnSpPr/>
      </xdr:nvCxnSpPr>
      <xdr:spPr>
        <a:xfrm flipV="1">
          <a:off x="2905125" y="2152650"/>
          <a:ext cx="904875" cy="171450"/>
        </a:xfrm>
        <a:prstGeom prst="straightConnector1">
          <a:avLst/>
        </a:prstGeom>
        <a:ln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</xdr:colOff>
      <xdr:row>5</xdr:row>
      <xdr:rowOff>95250</xdr:rowOff>
    </xdr:from>
    <xdr:to>
      <xdr:col>7</xdr:col>
      <xdr:colOff>0</xdr:colOff>
      <xdr:row>7</xdr:row>
      <xdr:rowOff>76200</xdr:rowOff>
    </xdr:to>
    <xdr:cxnSp macro="">
      <xdr:nvCxnSpPr>
        <xdr:cNvPr id="93" name="直接箭头连接符 92">
          <a:extLst>
            <a:ext uri="{FF2B5EF4-FFF2-40B4-BE49-F238E27FC236}">
              <a16:creationId xmlns:a16="http://schemas.microsoft.com/office/drawing/2014/main" id="{7972D6B0-BBBA-49A7-A917-D756329BACFD}"/>
            </a:ext>
          </a:extLst>
        </xdr:cNvPr>
        <xdr:cNvCxnSpPr/>
      </xdr:nvCxnSpPr>
      <xdr:spPr>
        <a:xfrm>
          <a:off x="2914650" y="2514600"/>
          <a:ext cx="895350" cy="3619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219075</xdr:colOff>
      <xdr:row>6</xdr:row>
      <xdr:rowOff>85725</xdr:rowOff>
    </xdr:from>
    <xdr:to>
      <xdr:col>6</xdr:col>
      <xdr:colOff>676275</xdr:colOff>
      <xdr:row>11</xdr:row>
      <xdr:rowOff>66675</xdr:rowOff>
    </xdr:to>
    <xdr:cxnSp macro="">
      <xdr:nvCxnSpPr>
        <xdr:cNvPr id="94" name="直接箭头连接符 93">
          <a:extLst>
            <a:ext uri="{FF2B5EF4-FFF2-40B4-BE49-F238E27FC236}">
              <a16:creationId xmlns:a16="http://schemas.microsoft.com/office/drawing/2014/main" id="{5453C503-CEE7-45A4-9AE7-5A9636BA7081}"/>
            </a:ext>
          </a:extLst>
        </xdr:cNvPr>
        <xdr:cNvCxnSpPr/>
      </xdr:nvCxnSpPr>
      <xdr:spPr>
        <a:xfrm>
          <a:off x="2924175" y="1190625"/>
          <a:ext cx="876300" cy="9239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238125</xdr:colOff>
      <xdr:row>7</xdr:row>
      <xdr:rowOff>104775</xdr:rowOff>
    </xdr:from>
    <xdr:to>
      <xdr:col>7</xdr:col>
      <xdr:colOff>19050</xdr:colOff>
      <xdr:row>15</xdr:row>
      <xdr:rowOff>0</xdr:rowOff>
    </xdr:to>
    <xdr:cxnSp macro="">
      <xdr:nvCxnSpPr>
        <xdr:cNvPr id="95" name="直接箭头连接符 94">
          <a:extLst>
            <a:ext uri="{FF2B5EF4-FFF2-40B4-BE49-F238E27FC236}">
              <a16:creationId xmlns:a16="http://schemas.microsoft.com/office/drawing/2014/main" id="{B7B5E4C1-46F2-4920-906A-A79030CCE762}"/>
            </a:ext>
          </a:extLst>
        </xdr:cNvPr>
        <xdr:cNvCxnSpPr/>
      </xdr:nvCxnSpPr>
      <xdr:spPr>
        <a:xfrm>
          <a:off x="2943225" y="1400175"/>
          <a:ext cx="885825" cy="1400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247650</xdr:colOff>
      <xdr:row>8</xdr:row>
      <xdr:rowOff>142875</xdr:rowOff>
    </xdr:from>
    <xdr:to>
      <xdr:col>7</xdr:col>
      <xdr:colOff>38100</xdr:colOff>
      <xdr:row>19</xdr:row>
      <xdr:rowOff>38100</xdr:rowOff>
    </xdr:to>
    <xdr:cxnSp macro="">
      <xdr:nvCxnSpPr>
        <xdr:cNvPr id="97" name="直接箭头连接符 96">
          <a:extLst>
            <a:ext uri="{FF2B5EF4-FFF2-40B4-BE49-F238E27FC236}">
              <a16:creationId xmlns:a16="http://schemas.microsoft.com/office/drawing/2014/main" id="{88AEFD89-64FF-43D0-89A4-49A0872349F6}"/>
            </a:ext>
          </a:extLst>
        </xdr:cNvPr>
        <xdr:cNvCxnSpPr/>
      </xdr:nvCxnSpPr>
      <xdr:spPr>
        <a:xfrm>
          <a:off x="2952750" y="1619250"/>
          <a:ext cx="895350" cy="19812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142875</xdr:colOff>
      <xdr:row>9</xdr:row>
      <xdr:rowOff>95250</xdr:rowOff>
    </xdr:from>
    <xdr:to>
      <xdr:col>7</xdr:col>
      <xdr:colOff>66675</xdr:colOff>
      <xdr:row>24</xdr:row>
      <xdr:rowOff>180975</xdr:rowOff>
    </xdr:to>
    <xdr:cxnSp macro="">
      <xdr:nvCxnSpPr>
        <xdr:cNvPr id="99" name="直接箭头连接符 98">
          <a:extLst>
            <a:ext uri="{FF2B5EF4-FFF2-40B4-BE49-F238E27FC236}">
              <a16:creationId xmlns:a16="http://schemas.microsoft.com/office/drawing/2014/main" id="{32E15280-0C19-4A6D-9264-B9ABF1073720}"/>
            </a:ext>
          </a:extLst>
        </xdr:cNvPr>
        <xdr:cNvCxnSpPr/>
      </xdr:nvCxnSpPr>
      <xdr:spPr>
        <a:xfrm>
          <a:off x="2847975" y="1762125"/>
          <a:ext cx="1028700" cy="29146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104775</xdr:colOff>
      <xdr:row>3</xdr:row>
      <xdr:rowOff>104775</xdr:rowOff>
    </xdr:from>
    <xdr:to>
      <xdr:col>4</xdr:col>
      <xdr:colOff>0</xdr:colOff>
      <xdr:row>4</xdr:row>
      <xdr:rowOff>104775</xdr:rowOff>
    </xdr:to>
    <xdr:cxnSp macro="">
      <xdr:nvCxnSpPr>
        <xdr:cNvPr id="101" name="直接箭头连接符 100">
          <a:extLst>
            <a:ext uri="{FF2B5EF4-FFF2-40B4-BE49-F238E27FC236}">
              <a16:creationId xmlns:a16="http://schemas.microsoft.com/office/drawing/2014/main" id="{4C8F0BC0-389D-496A-86DD-1B2A65D4380F}"/>
            </a:ext>
          </a:extLst>
        </xdr:cNvPr>
        <xdr:cNvCxnSpPr/>
      </xdr:nvCxnSpPr>
      <xdr:spPr>
        <a:xfrm flipV="1">
          <a:off x="1476375" y="2152650"/>
          <a:ext cx="809625" cy="1809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1A937-01EF-4850-A120-F2B3F677D849}">
  <sheetPr codeName="Sheet1"/>
  <dimension ref="A1:G103"/>
  <sheetViews>
    <sheetView tabSelected="1" workbookViewId="0">
      <pane xSplit="4" ySplit="1" topLeftCell="E77" activePane="bottomRight" state="frozen"/>
      <selection pane="topRight" activeCell="E1" sqref="E1"/>
      <selection pane="bottomLeft" activeCell="A2" sqref="A2"/>
      <selection pane="bottomRight" activeCell="F93" sqref="F93"/>
    </sheetView>
  </sheetViews>
  <sheetFormatPr defaultRowHeight="14.25" x14ac:dyDescent="0.2"/>
  <cols>
    <col min="1" max="1" width="47.75" bestFit="1" customWidth="1"/>
    <col min="7" max="7" width="15.375" bestFit="1" customWidth="1"/>
  </cols>
  <sheetData>
    <row r="1" spans="1:7" ht="19.5" x14ac:dyDescent="0.2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116</v>
      </c>
      <c r="G1" s="5" t="s">
        <v>5</v>
      </c>
    </row>
    <row r="2" spans="1:7" x14ac:dyDescent="0.2">
      <c r="A2" s="6" t="s">
        <v>6</v>
      </c>
      <c r="C2" s="13">
        <f>SUM(D3:D4)</f>
        <v>1.983796296296296E-2</v>
      </c>
      <c r="E2" s="7"/>
    </row>
    <row r="3" spans="1:7" x14ac:dyDescent="0.2">
      <c r="A3" s="8" t="s">
        <v>7</v>
      </c>
      <c r="B3" s="9">
        <v>13</v>
      </c>
      <c r="C3" s="9">
        <v>10</v>
      </c>
      <c r="D3" s="10">
        <f t="shared" ref="D3:D66" si="0">B3/1440+C3/86400</f>
        <v>9.1435185185185178E-3</v>
      </c>
      <c r="E3" s="7">
        <v>1</v>
      </c>
      <c r="G3" s="16">
        <v>45400.447916666664</v>
      </c>
    </row>
    <row r="4" spans="1:7" x14ac:dyDescent="0.2">
      <c r="A4" s="9" t="s">
        <v>8</v>
      </c>
      <c r="B4" s="9">
        <v>15</v>
      </c>
      <c r="C4" s="9">
        <v>24</v>
      </c>
      <c r="D4" s="10">
        <f t="shared" si="0"/>
        <v>1.0694444444444444E-2</v>
      </c>
      <c r="E4" s="7">
        <v>1</v>
      </c>
      <c r="G4" s="16">
        <v>45400.467361111114</v>
      </c>
    </row>
    <row r="5" spans="1:7" x14ac:dyDescent="0.2">
      <c r="A5" s="6" t="s">
        <v>9</v>
      </c>
      <c r="C5" s="11">
        <f>SUM(D6:D35)</f>
        <v>0.7979166666666665</v>
      </c>
      <c r="E5" s="7"/>
      <c r="G5" s="16"/>
    </row>
    <row r="6" spans="1:7" x14ac:dyDescent="0.2">
      <c r="A6" s="8" t="s">
        <v>10</v>
      </c>
      <c r="B6" s="9">
        <v>21</v>
      </c>
      <c r="C6" s="9">
        <v>27</v>
      </c>
      <c r="D6" s="10">
        <f t="shared" si="0"/>
        <v>1.4895833333333334E-2</v>
      </c>
      <c r="E6" s="7">
        <v>1</v>
      </c>
      <c r="G6" s="16">
        <v>45401.628472222219</v>
      </c>
    </row>
    <row r="7" spans="1:7" ht="15.75" x14ac:dyDescent="0.2">
      <c r="A7" s="14" t="s">
        <v>11</v>
      </c>
      <c r="B7" s="9">
        <v>33</v>
      </c>
      <c r="C7" s="9">
        <v>25</v>
      </c>
      <c r="D7" s="10">
        <f t="shared" si="0"/>
        <v>2.3206018518518518E-2</v>
      </c>
      <c r="E7" s="7">
        <v>1</v>
      </c>
      <c r="G7" s="16">
        <v>45401.431944444441</v>
      </c>
    </row>
    <row r="8" spans="1:7" ht="15.75" x14ac:dyDescent="0.2">
      <c r="A8" s="14" t="s">
        <v>12</v>
      </c>
      <c r="B8" s="9">
        <v>40</v>
      </c>
      <c r="C8" s="9">
        <v>25</v>
      </c>
      <c r="D8" s="10">
        <f t="shared" si="0"/>
        <v>2.8067129629629629E-2</v>
      </c>
      <c r="E8" s="7">
        <v>2</v>
      </c>
      <c r="G8" s="16">
        <v>45401.472222222219</v>
      </c>
    </row>
    <row r="9" spans="1:7" ht="15.75" x14ac:dyDescent="0.2">
      <c r="A9" s="14" t="s">
        <v>13</v>
      </c>
      <c r="B9" s="9">
        <v>31</v>
      </c>
      <c r="C9" s="9">
        <v>39</v>
      </c>
      <c r="D9" s="10">
        <f t="shared" si="0"/>
        <v>2.1979166666666668E-2</v>
      </c>
      <c r="E9" s="7">
        <v>2</v>
      </c>
      <c r="F9" t="s">
        <v>106</v>
      </c>
      <c r="G9" s="16">
        <v>45401.576388888891</v>
      </c>
    </row>
    <row r="10" spans="1:7" x14ac:dyDescent="0.2">
      <c r="A10" s="9" t="s">
        <v>14</v>
      </c>
      <c r="B10" s="9">
        <v>50</v>
      </c>
      <c r="C10" s="9">
        <v>19</v>
      </c>
      <c r="D10" s="10">
        <f t="shared" si="0"/>
        <v>3.4942129629629629E-2</v>
      </c>
      <c r="E10" s="7">
        <v>2</v>
      </c>
      <c r="F10" t="s">
        <v>106</v>
      </c>
      <c r="G10" s="16">
        <v>45448.522222222222</v>
      </c>
    </row>
    <row r="11" spans="1:7" x14ac:dyDescent="0.2">
      <c r="A11" s="8" t="s">
        <v>15</v>
      </c>
      <c r="B11" s="9">
        <v>30</v>
      </c>
      <c r="C11" s="9">
        <v>43</v>
      </c>
      <c r="D11" s="10">
        <f t="shared" si="0"/>
        <v>2.1331018518518517E-2</v>
      </c>
      <c r="E11" s="7">
        <v>2</v>
      </c>
      <c r="G11" s="16">
        <v>45448.584722222222</v>
      </c>
    </row>
    <row r="12" spans="1:7" x14ac:dyDescent="0.2">
      <c r="A12" s="9" t="s">
        <v>16</v>
      </c>
      <c r="B12" s="9">
        <v>47</v>
      </c>
      <c r="C12" s="9">
        <v>1</v>
      </c>
      <c r="D12" s="10">
        <f t="shared" si="0"/>
        <v>3.2650462962962964E-2</v>
      </c>
      <c r="E12" s="7">
        <v>2</v>
      </c>
      <c r="G12" s="16">
        <v>45404.6</v>
      </c>
    </row>
    <row r="13" spans="1:7" x14ac:dyDescent="0.2">
      <c r="A13" s="9" t="s">
        <v>17</v>
      </c>
      <c r="B13" s="9">
        <v>34</v>
      </c>
      <c r="C13" s="9">
        <v>9</v>
      </c>
      <c r="D13" s="10">
        <f t="shared" si="0"/>
        <v>2.3715277777777776E-2</v>
      </c>
      <c r="E13" s="7">
        <v>2</v>
      </c>
      <c r="G13" s="16">
        <v>45405.379166666666</v>
      </c>
    </row>
    <row r="14" spans="1:7" x14ac:dyDescent="0.2">
      <c r="A14" s="8" t="s">
        <v>18</v>
      </c>
      <c r="B14" s="9">
        <v>46</v>
      </c>
      <c r="C14" s="9">
        <v>49</v>
      </c>
      <c r="D14" s="10">
        <f t="shared" si="0"/>
        <v>3.2511574074074075E-2</v>
      </c>
      <c r="E14" s="7">
        <v>3</v>
      </c>
      <c r="G14" s="16">
        <v>45405.421527777777</v>
      </c>
    </row>
    <row r="15" spans="1:7" x14ac:dyDescent="0.2">
      <c r="A15" s="9" t="s">
        <v>19</v>
      </c>
      <c r="B15" s="9">
        <v>41</v>
      </c>
      <c r="C15" s="9">
        <v>11</v>
      </c>
      <c r="D15" s="10">
        <f t="shared" si="0"/>
        <v>2.8599537037037038E-2</v>
      </c>
      <c r="E15" s="7">
        <v>3</v>
      </c>
      <c r="G15" s="16">
        <v>45405.581944444442</v>
      </c>
    </row>
    <row r="16" spans="1:7" x14ac:dyDescent="0.2">
      <c r="A16" s="8" t="s">
        <v>20</v>
      </c>
      <c r="B16" s="9">
        <v>50</v>
      </c>
      <c r="C16" s="9">
        <v>4</v>
      </c>
      <c r="D16" s="10">
        <f t="shared" si="0"/>
        <v>3.4768518518518518E-2</v>
      </c>
      <c r="E16" s="7">
        <v>3</v>
      </c>
      <c r="F16" s="15"/>
      <c r="G16" s="16">
        <v>45405.662499999999</v>
      </c>
    </row>
    <row r="17" spans="1:7" x14ac:dyDescent="0.2">
      <c r="A17" s="9" t="s">
        <v>21</v>
      </c>
      <c r="B17" s="9">
        <v>34</v>
      </c>
      <c r="C17" s="9">
        <v>20</v>
      </c>
      <c r="D17" s="10">
        <f t="shared" si="0"/>
        <v>2.3842592592592592E-2</v>
      </c>
      <c r="E17" s="7">
        <v>3</v>
      </c>
      <c r="F17" t="s">
        <v>107</v>
      </c>
      <c r="G17" s="16">
        <v>45405.933333333334</v>
      </c>
    </row>
    <row r="18" spans="1:7" x14ac:dyDescent="0.2">
      <c r="A18" s="8" t="s">
        <v>22</v>
      </c>
      <c r="B18" s="9">
        <v>32</v>
      </c>
      <c r="C18" s="9">
        <v>57</v>
      </c>
      <c r="D18" s="10">
        <f t="shared" si="0"/>
        <v>2.2881944444444444E-2</v>
      </c>
      <c r="E18" s="7">
        <v>4</v>
      </c>
      <c r="G18" s="16">
        <v>45406.463194444441</v>
      </c>
    </row>
    <row r="19" spans="1:7" x14ac:dyDescent="0.2">
      <c r="A19" s="8" t="s">
        <v>23</v>
      </c>
      <c r="B19" s="9">
        <v>54</v>
      </c>
      <c r="C19" s="9">
        <v>37</v>
      </c>
      <c r="D19" s="10">
        <f t="shared" si="0"/>
        <v>3.7928240740740742E-2</v>
      </c>
      <c r="E19" s="7">
        <v>4</v>
      </c>
      <c r="G19" s="16">
        <v>45406.555555555555</v>
      </c>
    </row>
    <row r="20" spans="1:7" x14ac:dyDescent="0.2">
      <c r="A20" s="9" t="s">
        <v>24</v>
      </c>
      <c r="B20" s="9">
        <v>33</v>
      </c>
      <c r="C20" s="9">
        <v>21</v>
      </c>
      <c r="D20" s="10">
        <f t="shared" si="0"/>
        <v>2.315972222222222E-2</v>
      </c>
      <c r="E20" s="7">
        <v>4</v>
      </c>
      <c r="G20" s="16">
        <v>45407.432638888888</v>
      </c>
    </row>
    <row r="21" spans="1:7" x14ac:dyDescent="0.2">
      <c r="A21" s="8" t="s">
        <v>25</v>
      </c>
      <c r="B21" s="9">
        <v>30</v>
      </c>
      <c r="C21" s="9">
        <v>24</v>
      </c>
      <c r="D21" s="10">
        <f t="shared" si="0"/>
        <v>2.1111111111111108E-2</v>
      </c>
      <c r="E21" s="7">
        <v>5</v>
      </c>
      <c r="F21" t="s">
        <v>108</v>
      </c>
      <c r="G21" s="16">
        <v>45407.474999999999</v>
      </c>
    </row>
    <row r="22" spans="1:7" x14ac:dyDescent="0.2">
      <c r="A22" s="9" t="s">
        <v>26</v>
      </c>
      <c r="B22" s="9">
        <v>31</v>
      </c>
      <c r="C22" s="9">
        <v>48</v>
      </c>
      <c r="D22" s="10">
        <f t="shared" si="0"/>
        <v>2.2083333333333333E-2</v>
      </c>
      <c r="E22" s="7">
        <v>5</v>
      </c>
      <c r="G22" s="16">
        <v>45407.572222222225</v>
      </c>
    </row>
    <row r="23" spans="1:7" x14ac:dyDescent="0.2">
      <c r="A23" s="9" t="s">
        <v>27</v>
      </c>
      <c r="B23" s="9">
        <v>40</v>
      </c>
      <c r="C23" s="9">
        <v>3</v>
      </c>
      <c r="D23" s="10">
        <f t="shared" si="0"/>
        <v>2.7812499999999997E-2</v>
      </c>
      <c r="E23" s="7" t="s">
        <v>109</v>
      </c>
      <c r="G23" s="16">
        <v>45448.629166666666</v>
      </c>
    </row>
    <row r="24" spans="1:7" x14ac:dyDescent="0.2">
      <c r="A24" s="9" t="s">
        <v>28</v>
      </c>
      <c r="B24" s="9">
        <v>43</v>
      </c>
      <c r="C24" s="9">
        <v>26</v>
      </c>
      <c r="D24" s="10">
        <f t="shared" si="0"/>
        <v>3.0162037037037039E-2</v>
      </c>
      <c r="E24" s="7" t="s">
        <v>110</v>
      </c>
      <c r="G24" s="16">
        <v>45408.455555555556</v>
      </c>
    </row>
    <row r="25" spans="1:7" x14ac:dyDescent="0.2">
      <c r="A25" s="8" t="s">
        <v>29</v>
      </c>
      <c r="B25" s="9">
        <v>33</v>
      </c>
      <c r="C25" s="9">
        <v>10</v>
      </c>
      <c r="D25" s="10">
        <f t="shared" si="0"/>
        <v>2.3032407407407404E-2</v>
      </c>
      <c r="E25" s="7">
        <v>7</v>
      </c>
      <c r="G25" s="16">
        <v>45408.604861111111</v>
      </c>
    </row>
    <row r="26" spans="1:7" x14ac:dyDescent="0.2">
      <c r="A26" s="9" t="s">
        <v>30</v>
      </c>
      <c r="B26" s="9">
        <v>33</v>
      </c>
      <c r="C26" s="9">
        <v>37</v>
      </c>
      <c r="D26" s="10">
        <f t="shared" si="0"/>
        <v>2.3344907407407404E-2</v>
      </c>
      <c r="E26" s="7">
        <v>7</v>
      </c>
      <c r="G26" s="16">
        <v>45409.396527777775</v>
      </c>
    </row>
    <row r="27" spans="1:7" x14ac:dyDescent="0.2">
      <c r="A27" s="8" t="s">
        <v>31</v>
      </c>
      <c r="B27" s="9">
        <v>42</v>
      </c>
      <c r="C27" s="9">
        <v>44</v>
      </c>
      <c r="D27" s="10">
        <f t="shared" si="0"/>
        <v>2.9675925925925925E-2</v>
      </c>
      <c r="E27" s="7">
        <v>7</v>
      </c>
      <c r="G27" s="16">
        <v>45409.893750000003</v>
      </c>
    </row>
    <row r="28" spans="1:7" x14ac:dyDescent="0.2">
      <c r="A28" s="9" t="s">
        <v>32</v>
      </c>
      <c r="B28" s="9">
        <v>24</v>
      </c>
      <c r="C28" s="9">
        <v>28</v>
      </c>
      <c r="D28" s="10">
        <f t="shared" si="0"/>
        <v>1.699074074074074E-2</v>
      </c>
      <c r="E28" s="7" t="s">
        <v>111</v>
      </c>
      <c r="G28" s="16">
        <v>45449.672222222223</v>
      </c>
    </row>
    <row r="29" spans="1:7" x14ac:dyDescent="0.2">
      <c r="A29" s="9" t="s">
        <v>33</v>
      </c>
      <c r="B29" s="9">
        <v>35</v>
      </c>
      <c r="C29" s="9">
        <v>42</v>
      </c>
      <c r="D29" s="10">
        <f t="shared" si="0"/>
        <v>2.4791666666666667E-2</v>
      </c>
      <c r="E29" s="7" t="s">
        <v>111</v>
      </c>
      <c r="G29" s="16">
        <v>45410.359722222223</v>
      </c>
    </row>
    <row r="30" spans="1:7" x14ac:dyDescent="0.2">
      <c r="A30" s="8" t="s">
        <v>34</v>
      </c>
      <c r="B30" s="8">
        <v>43</v>
      </c>
      <c r="C30" s="8">
        <v>52</v>
      </c>
      <c r="D30" s="10">
        <f t="shared" si="0"/>
        <v>3.0462962962962966E-2</v>
      </c>
      <c r="E30" s="7" t="s">
        <v>112</v>
      </c>
      <c r="G30" s="16">
        <v>45452.272916666669</v>
      </c>
    </row>
    <row r="31" spans="1:7" x14ac:dyDescent="0.2">
      <c r="A31" s="8" t="s">
        <v>35</v>
      </c>
      <c r="B31" s="8">
        <v>48</v>
      </c>
      <c r="C31" s="8">
        <v>6</v>
      </c>
      <c r="D31" s="10">
        <f t="shared" si="0"/>
        <v>3.3402777777777774E-2</v>
      </c>
      <c r="E31" s="7">
        <v>9</v>
      </c>
      <c r="G31" s="16">
        <v>45452.367361111108</v>
      </c>
    </row>
    <row r="32" spans="1:7" x14ac:dyDescent="0.2">
      <c r="A32" s="8" t="s">
        <v>36</v>
      </c>
      <c r="B32" s="8">
        <v>30</v>
      </c>
      <c r="C32" s="8">
        <v>9</v>
      </c>
      <c r="D32" s="10">
        <f t="shared" si="0"/>
        <v>2.0937499999999998E-2</v>
      </c>
      <c r="E32" s="7">
        <v>10</v>
      </c>
      <c r="G32" s="16">
        <v>45439.628472222219</v>
      </c>
    </row>
    <row r="33" spans="1:7" x14ac:dyDescent="0.2">
      <c r="A33" s="8" t="s">
        <v>37</v>
      </c>
      <c r="B33" s="8">
        <v>26</v>
      </c>
      <c r="C33" s="8">
        <v>27</v>
      </c>
      <c r="D33" s="10">
        <f t="shared" si="0"/>
        <v>1.8368055555555554E-2</v>
      </c>
      <c r="E33" s="7">
        <v>10</v>
      </c>
      <c r="G33" s="16">
        <v>45452.948611111111</v>
      </c>
    </row>
    <row r="34" spans="1:7" x14ac:dyDescent="0.2">
      <c r="A34" s="8" t="s">
        <v>38</v>
      </c>
      <c r="B34" s="8">
        <v>39</v>
      </c>
      <c r="C34" s="8">
        <v>54</v>
      </c>
      <c r="D34" s="10">
        <f t="shared" si="0"/>
        <v>2.7708333333333335E-2</v>
      </c>
      <c r="E34" s="7" t="s">
        <v>114</v>
      </c>
      <c r="G34" s="16">
        <v>45453.760416666664</v>
      </c>
    </row>
    <row r="35" spans="1:7" x14ac:dyDescent="0.2">
      <c r="A35" s="8" t="s">
        <v>39</v>
      </c>
      <c r="B35" s="9">
        <v>62</v>
      </c>
      <c r="C35" s="9">
        <v>43</v>
      </c>
      <c r="D35" s="10">
        <f t="shared" si="0"/>
        <v>4.355324074074074E-2</v>
      </c>
      <c r="E35" s="7" t="s">
        <v>113</v>
      </c>
      <c r="F35" t="s">
        <v>115</v>
      </c>
      <c r="G35" s="16">
        <v>45453.861805555556</v>
      </c>
    </row>
    <row r="36" spans="1:7" x14ac:dyDescent="0.2">
      <c r="A36" s="6" t="s">
        <v>40</v>
      </c>
      <c r="C36" s="11">
        <f>SUM(D37:D58)</f>
        <v>0.65162037037037013</v>
      </c>
      <c r="E36" s="7"/>
    </row>
    <row r="37" spans="1:7" x14ac:dyDescent="0.2">
      <c r="A37" s="8" t="s">
        <v>41</v>
      </c>
      <c r="B37" s="9">
        <v>18</v>
      </c>
      <c r="C37" s="9">
        <v>22</v>
      </c>
      <c r="D37" s="10">
        <f t="shared" si="0"/>
        <v>1.275462962962963E-2</v>
      </c>
      <c r="E37" s="7">
        <v>13</v>
      </c>
      <c r="G37" s="16">
        <v>45433.911805555559</v>
      </c>
    </row>
    <row r="38" spans="1:7" x14ac:dyDescent="0.2">
      <c r="A38" s="9" t="s">
        <v>42</v>
      </c>
      <c r="B38" s="9">
        <v>87</v>
      </c>
      <c r="C38" s="9">
        <v>40</v>
      </c>
      <c r="D38" s="10">
        <f t="shared" si="0"/>
        <v>6.0879629629629631E-2</v>
      </c>
      <c r="E38" s="7">
        <v>13</v>
      </c>
      <c r="G38" s="16">
        <v>45421.581944444442</v>
      </c>
    </row>
    <row r="39" spans="1:7" x14ac:dyDescent="0.2">
      <c r="A39" s="9" t="s">
        <v>43</v>
      </c>
      <c r="B39" s="9">
        <v>59</v>
      </c>
      <c r="C39" s="9">
        <v>4</v>
      </c>
      <c r="D39" s="10">
        <f t="shared" si="0"/>
        <v>4.1018518518518517E-2</v>
      </c>
      <c r="E39" s="7">
        <v>13</v>
      </c>
      <c r="G39" s="16">
        <v>45422.586111111108</v>
      </c>
    </row>
    <row r="40" spans="1:7" x14ac:dyDescent="0.2">
      <c r="A40" s="8" t="s">
        <v>44</v>
      </c>
      <c r="B40" s="9">
        <v>24</v>
      </c>
      <c r="C40" s="9">
        <v>5</v>
      </c>
      <c r="D40" s="10">
        <f t="shared" si="0"/>
        <v>1.6724537037037038E-2</v>
      </c>
      <c r="E40" s="7">
        <v>14</v>
      </c>
      <c r="G40" s="16">
        <v>45432.881944444445</v>
      </c>
    </row>
    <row r="41" spans="1:7" x14ac:dyDescent="0.2">
      <c r="A41" s="9" t="s">
        <v>45</v>
      </c>
      <c r="B41" s="9">
        <v>59</v>
      </c>
      <c r="C41" s="9">
        <v>53</v>
      </c>
      <c r="D41" s="10">
        <f t="shared" si="0"/>
        <v>4.1585648148148149E-2</v>
      </c>
      <c r="E41" s="7" t="s">
        <v>117</v>
      </c>
      <c r="F41" t="s">
        <v>118</v>
      </c>
      <c r="G41" s="16">
        <v>45434.326388888891</v>
      </c>
    </row>
    <row r="42" spans="1:7" x14ac:dyDescent="0.2">
      <c r="A42" s="9" t="s">
        <v>46</v>
      </c>
      <c r="B42" s="9">
        <v>52</v>
      </c>
      <c r="C42" s="9">
        <v>12</v>
      </c>
      <c r="D42" s="10">
        <f t="shared" si="0"/>
        <v>3.6249999999999998E-2</v>
      </c>
      <c r="E42" s="7" t="s">
        <v>117</v>
      </c>
      <c r="F42" t="s">
        <v>118</v>
      </c>
      <c r="G42" s="16">
        <v>45434.534722222219</v>
      </c>
    </row>
    <row r="43" spans="1:7" x14ac:dyDescent="0.2">
      <c r="A43" s="8" t="s">
        <v>47</v>
      </c>
      <c r="B43" s="9">
        <v>53</v>
      </c>
      <c r="C43" s="9">
        <v>11</v>
      </c>
      <c r="D43" s="10">
        <f t="shared" si="0"/>
        <v>3.6932870370370373E-2</v>
      </c>
      <c r="E43" s="7">
        <v>16</v>
      </c>
      <c r="G43" s="16">
        <v>45435.498611111114</v>
      </c>
    </row>
    <row r="44" spans="1:7" x14ac:dyDescent="0.2">
      <c r="A44" s="8" t="s">
        <v>48</v>
      </c>
      <c r="B44" s="9">
        <v>40</v>
      </c>
      <c r="C44" s="9">
        <v>55</v>
      </c>
      <c r="D44" s="10">
        <f t="shared" si="0"/>
        <v>2.841435185185185E-2</v>
      </c>
      <c r="E44" s="7">
        <v>16</v>
      </c>
      <c r="G44" s="16">
        <v>45436.490972222222</v>
      </c>
    </row>
    <row r="45" spans="1:7" x14ac:dyDescent="0.2">
      <c r="A45" s="8" t="s">
        <v>49</v>
      </c>
      <c r="B45" s="9">
        <v>55</v>
      </c>
      <c r="C45" s="9">
        <v>6</v>
      </c>
      <c r="D45" s="10">
        <f t="shared" si="0"/>
        <v>3.8263888888888889E-2</v>
      </c>
      <c r="E45" s="7">
        <v>16</v>
      </c>
      <c r="G45" s="30">
        <v>45445.297222222223</v>
      </c>
    </row>
    <row r="46" spans="1:7" x14ac:dyDescent="0.2">
      <c r="A46" s="8" t="s">
        <v>50</v>
      </c>
      <c r="B46" s="9">
        <v>44</v>
      </c>
      <c r="C46" s="9">
        <v>32</v>
      </c>
      <c r="D46" s="10">
        <f t="shared" si="0"/>
        <v>3.0925925925925926E-2</v>
      </c>
      <c r="E46" s="7">
        <v>17</v>
      </c>
      <c r="G46" s="30">
        <v>45446.452777777777</v>
      </c>
    </row>
    <row r="47" spans="1:7" x14ac:dyDescent="0.2">
      <c r="A47" s="9" t="s">
        <v>51</v>
      </c>
      <c r="B47" s="9">
        <v>50</v>
      </c>
      <c r="C47" s="9">
        <v>42</v>
      </c>
      <c r="D47" s="10">
        <f t="shared" si="0"/>
        <v>3.5208333333333335E-2</v>
      </c>
      <c r="E47" s="7">
        <v>18</v>
      </c>
      <c r="G47" s="30">
        <v>45446.537499999999</v>
      </c>
    </row>
    <row r="48" spans="1:7" x14ac:dyDescent="0.2">
      <c r="A48" s="9" t="s">
        <v>52</v>
      </c>
      <c r="B48" s="9">
        <v>49</v>
      </c>
      <c r="C48" s="9">
        <v>2</v>
      </c>
      <c r="D48" s="10">
        <f t="shared" si="0"/>
        <v>3.4050925925925922E-2</v>
      </c>
      <c r="E48" s="7">
        <v>18</v>
      </c>
      <c r="G48" s="30">
        <v>45446.591666666667</v>
      </c>
    </row>
    <row r="49" spans="1:7" x14ac:dyDescent="0.2">
      <c r="A49" s="9" t="s">
        <v>53</v>
      </c>
      <c r="B49" s="9">
        <v>26</v>
      </c>
      <c r="C49" s="9">
        <v>38</v>
      </c>
      <c r="D49" s="10">
        <f t="shared" si="0"/>
        <v>1.849537037037037E-2</v>
      </c>
      <c r="E49" s="7">
        <v>19</v>
      </c>
      <c r="G49" s="30">
        <v>45446.90902777778</v>
      </c>
    </row>
    <row r="50" spans="1:7" x14ac:dyDescent="0.2">
      <c r="A50" s="8" t="s">
        <v>54</v>
      </c>
      <c r="B50" s="9">
        <v>25</v>
      </c>
      <c r="C50" s="9">
        <v>1</v>
      </c>
      <c r="D50" s="10">
        <f t="shared" si="0"/>
        <v>1.7372685185185185E-2</v>
      </c>
      <c r="E50" s="7">
        <v>19</v>
      </c>
      <c r="G50" s="30">
        <v>45446.938194444447</v>
      </c>
    </row>
    <row r="51" spans="1:7" x14ac:dyDescent="0.2">
      <c r="A51" s="9" t="s">
        <v>55</v>
      </c>
      <c r="B51" s="9">
        <v>18</v>
      </c>
      <c r="C51" s="9">
        <v>13</v>
      </c>
      <c r="D51" s="10">
        <f t="shared" si="0"/>
        <v>1.2650462962962964E-2</v>
      </c>
      <c r="E51" s="7">
        <v>19</v>
      </c>
      <c r="G51" s="16">
        <v>45439.459027777775</v>
      </c>
    </row>
    <row r="52" spans="1:7" x14ac:dyDescent="0.2">
      <c r="A52" s="8" t="s">
        <v>56</v>
      </c>
      <c r="B52" s="9">
        <v>32</v>
      </c>
      <c r="C52" s="9">
        <v>5</v>
      </c>
      <c r="D52" s="10">
        <f t="shared" si="0"/>
        <v>2.2280092592592594E-2</v>
      </c>
      <c r="E52" s="7" t="s">
        <v>146</v>
      </c>
      <c r="G52" s="16">
        <v>45435.586111111108</v>
      </c>
    </row>
    <row r="53" spans="1:7" x14ac:dyDescent="0.2">
      <c r="A53" s="9" t="s">
        <v>57</v>
      </c>
      <c r="B53" s="9">
        <v>36</v>
      </c>
      <c r="C53" s="9">
        <v>58</v>
      </c>
      <c r="D53" s="10">
        <f t="shared" si="0"/>
        <v>2.5671296296296296E-2</v>
      </c>
      <c r="E53" s="7" t="s">
        <v>146</v>
      </c>
      <c r="G53" s="16">
        <v>45439.522916666669</v>
      </c>
    </row>
    <row r="54" spans="1:7" x14ac:dyDescent="0.2">
      <c r="A54" s="9" t="s">
        <v>58</v>
      </c>
      <c r="B54" s="9">
        <v>62</v>
      </c>
      <c r="C54" s="9">
        <v>44</v>
      </c>
      <c r="D54" s="10">
        <f t="shared" si="0"/>
        <v>4.3564814814814813E-2</v>
      </c>
      <c r="E54" s="7" t="s">
        <v>146</v>
      </c>
      <c r="G54" s="16">
        <v>45435.910416666666</v>
      </c>
    </row>
    <row r="55" spans="1:7" x14ac:dyDescent="0.2">
      <c r="A55" s="9" t="s">
        <v>59</v>
      </c>
      <c r="B55" s="9">
        <v>38</v>
      </c>
      <c r="C55" s="9">
        <v>17</v>
      </c>
      <c r="D55" s="10">
        <f t="shared" si="0"/>
        <v>2.6585648148148146E-2</v>
      </c>
      <c r="E55" s="7">
        <v>20</v>
      </c>
      <c r="G55" s="16">
        <v>45440.898611111108</v>
      </c>
    </row>
    <row r="56" spans="1:7" x14ac:dyDescent="0.2">
      <c r="A56" s="9" t="s">
        <v>60</v>
      </c>
      <c r="B56" s="9">
        <v>25</v>
      </c>
      <c r="C56" s="9">
        <v>47</v>
      </c>
      <c r="D56" s="10">
        <f t="shared" si="0"/>
        <v>1.7905092592592594E-2</v>
      </c>
      <c r="E56" s="7" t="s">
        <v>147</v>
      </c>
      <c r="G56" s="16">
        <v>45441.93472222222</v>
      </c>
    </row>
    <row r="57" spans="1:7" x14ac:dyDescent="0.2">
      <c r="A57" s="8" t="s">
        <v>61</v>
      </c>
      <c r="B57" s="9">
        <v>33</v>
      </c>
      <c r="C57" s="9">
        <v>17</v>
      </c>
      <c r="D57" s="10">
        <f t="shared" si="0"/>
        <v>2.3113425925925923E-2</v>
      </c>
      <c r="E57" s="7">
        <v>21</v>
      </c>
      <c r="G57" s="16">
        <v>45444.939583333333</v>
      </c>
    </row>
    <row r="58" spans="1:7" x14ac:dyDescent="0.2">
      <c r="A58" s="9" t="s">
        <v>62</v>
      </c>
      <c r="B58" s="9">
        <v>44</v>
      </c>
      <c r="C58" s="9">
        <v>36</v>
      </c>
      <c r="D58" s="10">
        <f t="shared" si="0"/>
        <v>3.097222222222222E-2</v>
      </c>
      <c r="E58" s="7">
        <v>21</v>
      </c>
      <c r="G58" s="16">
        <v>45439.416666666664</v>
      </c>
    </row>
    <row r="59" spans="1:7" x14ac:dyDescent="0.2">
      <c r="A59" s="6" t="s">
        <v>63</v>
      </c>
      <c r="C59" s="11">
        <f>SUM(D60:D102)</f>
        <v>1.0073379629629633</v>
      </c>
      <c r="E59" s="7"/>
    </row>
    <row r="60" spans="1:7" x14ac:dyDescent="0.2">
      <c r="A60" s="9" t="s">
        <v>41</v>
      </c>
      <c r="B60" s="9">
        <v>6</v>
      </c>
      <c r="C60" s="9">
        <v>9</v>
      </c>
      <c r="D60" s="10">
        <f t="shared" ref="D60" si="1">B60/1440+C60/86400</f>
        <v>4.2708333333333331E-3</v>
      </c>
      <c r="E60" s="7">
        <v>21</v>
      </c>
      <c r="F60" t="s">
        <v>148</v>
      </c>
      <c r="G60" s="16">
        <v>45502.651388888888</v>
      </c>
    </row>
    <row r="61" spans="1:7" x14ac:dyDescent="0.2">
      <c r="A61" s="9" t="s">
        <v>64</v>
      </c>
      <c r="B61" s="9">
        <v>18</v>
      </c>
      <c r="C61" s="9">
        <v>36</v>
      </c>
      <c r="D61" s="10">
        <f t="shared" si="0"/>
        <v>1.2916666666666667E-2</v>
      </c>
      <c r="E61" s="7">
        <v>22</v>
      </c>
      <c r="G61" s="16">
        <v>45503.584027777775</v>
      </c>
    </row>
    <row r="62" spans="1:7" x14ac:dyDescent="0.2">
      <c r="A62" s="9" t="s">
        <v>65</v>
      </c>
      <c r="B62" s="9">
        <v>31</v>
      </c>
      <c r="C62" s="9">
        <v>54</v>
      </c>
      <c r="D62" s="10">
        <f t="shared" si="0"/>
        <v>2.2152777777777778E-2</v>
      </c>
      <c r="E62" s="7">
        <v>22</v>
      </c>
      <c r="G62" s="16">
        <v>45503.625</v>
      </c>
    </row>
    <row r="63" spans="1:7" x14ac:dyDescent="0.2">
      <c r="A63" s="9" t="s">
        <v>66</v>
      </c>
      <c r="B63" s="9">
        <v>39</v>
      </c>
      <c r="C63" s="9">
        <v>2</v>
      </c>
      <c r="D63" s="10">
        <f t="shared" si="0"/>
        <v>2.7106481481481481E-2</v>
      </c>
      <c r="E63" s="7">
        <v>22</v>
      </c>
      <c r="G63" s="16">
        <v>45516.45</v>
      </c>
    </row>
    <row r="64" spans="1:7" x14ac:dyDescent="0.2">
      <c r="A64" s="9" t="s">
        <v>67</v>
      </c>
      <c r="B64" s="9">
        <v>38</v>
      </c>
      <c r="C64" s="9">
        <v>51</v>
      </c>
      <c r="D64" s="10">
        <f t="shared" si="0"/>
        <v>2.6979166666666665E-2</v>
      </c>
      <c r="E64" s="7">
        <v>22</v>
      </c>
      <c r="G64" s="16">
        <v>45503.694444444445</v>
      </c>
    </row>
    <row r="65" spans="1:7" x14ac:dyDescent="0.2">
      <c r="A65" s="9" t="s">
        <v>68</v>
      </c>
      <c r="B65" s="9">
        <v>38</v>
      </c>
      <c r="C65" s="9">
        <v>8</v>
      </c>
      <c r="D65" s="10">
        <f t="shared" si="0"/>
        <v>2.6481481481481481E-2</v>
      </c>
      <c r="E65" s="7">
        <v>23</v>
      </c>
      <c r="G65" s="16">
        <v>45504.455555555556</v>
      </c>
    </row>
    <row r="66" spans="1:7" x14ac:dyDescent="0.2">
      <c r="A66" s="9" t="s">
        <v>69</v>
      </c>
      <c r="B66" s="9">
        <v>66</v>
      </c>
      <c r="C66" s="9">
        <v>2</v>
      </c>
      <c r="D66" s="10">
        <f t="shared" si="0"/>
        <v>4.5856481481481477E-2</v>
      </c>
      <c r="E66" s="7">
        <v>23</v>
      </c>
      <c r="G66" s="16">
        <v>45504.557638888888</v>
      </c>
    </row>
    <row r="67" spans="1:7" x14ac:dyDescent="0.2">
      <c r="A67" s="9" t="s">
        <v>70</v>
      </c>
      <c r="B67" s="9">
        <v>24</v>
      </c>
      <c r="C67" s="9">
        <v>59</v>
      </c>
      <c r="D67" s="10">
        <f t="shared" ref="D67:D102" si="2">B67/1440+C67/86400</f>
        <v>1.7349537037037038E-2</v>
      </c>
      <c r="E67" s="7">
        <v>23</v>
      </c>
      <c r="G67" s="16">
        <v>45504.70208333333</v>
      </c>
    </row>
    <row r="68" spans="1:7" x14ac:dyDescent="0.2">
      <c r="A68" s="9" t="s">
        <v>71</v>
      </c>
      <c r="B68" s="9">
        <v>16</v>
      </c>
      <c r="C68" s="9">
        <v>44</v>
      </c>
      <c r="D68" s="10">
        <f t="shared" si="2"/>
        <v>1.1620370370370371E-2</v>
      </c>
      <c r="E68" s="7">
        <v>23</v>
      </c>
      <c r="G68" s="16">
        <v>45505.411805555559</v>
      </c>
    </row>
    <row r="69" spans="1:7" x14ac:dyDescent="0.2">
      <c r="A69" s="9" t="s">
        <v>72</v>
      </c>
      <c r="B69" s="9">
        <v>17</v>
      </c>
      <c r="C69" s="9">
        <v>1</v>
      </c>
      <c r="D69" s="10">
        <f t="shared" si="2"/>
        <v>1.1817129629629629E-2</v>
      </c>
      <c r="E69" s="7">
        <v>23</v>
      </c>
      <c r="G69" s="16">
        <v>45505.445833333331</v>
      </c>
    </row>
    <row r="70" spans="1:7" x14ac:dyDescent="0.2">
      <c r="A70" s="9" t="s">
        <v>73</v>
      </c>
      <c r="B70" s="9">
        <v>24</v>
      </c>
      <c r="C70" s="9">
        <v>36</v>
      </c>
      <c r="D70" s="10">
        <f t="shared" si="2"/>
        <v>1.7083333333333332E-2</v>
      </c>
      <c r="E70" s="7">
        <v>23</v>
      </c>
      <c r="G70" s="16">
        <v>45505.588194444441</v>
      </c>
    </row>
    <row r="71" spans="1:7" x14ac:dyDescent="0.2">
      <c r="A71" s="9" t="s">
        <v>74</v>
      </c>
      <c r="B71" s="9">
        <v>31</v>
      </c>
      <c r="C71" s="9">
        <v>34</v>
      </c>
      <c r="D71" s="10">
        <f t="shared" si="2"/>
        <v>2.1921296296296296E-2</v>
      </c>
      <c r="E71" s="7">
        <v>24</v>
      </c>
      <c r="G71" s="16">
        <v>45505.65625</v>
      </c>
    </row>
    <row r="72" spans="1:7" x14ac:dyDescent="0.2">
      <c r="A72" s="9" t="s">
        <v>75</v>
      </c>
      <c r="B72" s="9">
        <v>21</v>
      </c>
      <c r="C72" s="9">
        <v>59</v>
      </c>
      <c r="D72" s="10">
        <f t="shared" si="2"/>
        <v>1.5266203703703704E-2</v>
      </c>
      <c r="E72" s="7">
        <v>24</v>
      </c>
      <c r="G72" s="16">
        <v>45505.788888888892</v>
      </c>
    </row>
    <row r="73" spans="1:7" x14ac:dyDescent="0.2">
      <c r="A73" s="9" t="s">
        <v>76</v>
      </c>
      <c r="B73" s="9">
        <v>21</v>
      </c>
      <c r="C73" s="9">
        <v>49</v>
      </c>
      <c r="D73" s="10">
        <f t="shared" si="2"/>
        <v>1.5150462962962963E-2</v>
      </c>
      <c r="E73" s="7">
        <v>24</v>
      </c>
      <c r="G73" s="16">
        <v>45505.817361111112</v>
      </c>
    </row>
    <row r="74" spans="1:7" x14ac:dyDescent="0.2">
      <c r="A74" s="9" t="s">
        <v>77</v>
      </c>
      <c r="B74" s="9">
        <v>20</v>
      </c>
      <c r="C74" s="9">
        <v>28</v>
      </c>
      <c r="D74" s="10">
        <f t="shared" si="2"/>
        <v>1.4212962962962962E-2</v>
      </c>
      <c r="E74" s="7">
        <v>24</v>
      </c>
      <c r="G74" s="16">
        <v>45507.415277777778</v>
      </c>
    </row>
    <row r="75" spans="1:7" x14ac:dyDescent="0.2">
      <c r="A75" s="9" t="s">
        <v>78</v>
      </c>
      <c r="B75" s="9">
        <v>29</v>
      </c>
      <c r="C75" s="9">
        <v>20</v>
      </c>
      <c r="D75" s="10">
        <f t="shared" si="2"/>
        <v>2.0370370370370372E-2</v>
      </c>
      <c r="E75" s="7">
        <v>24</v>
      </c>
      <c r="G75" s="16">
        <v>45507.458333333336</v>
      </c>
    </row>
    <row r="76" spans="1:7" x14ac:dyDescent="0.2">
      <c r="A76" s="9" t="s">
        <v>79</v>
      </c>
      <c r="B76" s="9">
        <v>61</v>
      </c>
      <c r="C76" s="9">
        <v>16</v>
      </c>
      <c r="D76" s="10">
        <f t="shared" si="2"/>
        <v>4.2546296296296297E-2</v>
      </c>
      <c r="E76" s="7">
        <v>24</v>
      </c>
      <c r="F76" t="s">
        <v>106</v>
      </c>
      <c r="G76" s="16">
        <v>45507.588194444441</v>
      </c>
    </row>
    <row r="77" spans="1:7" x14ac:dyDescent="0.2">
      <c r="A77" s="9" t="s">
        <v>80</v>
      </c>
      <c r="B77" s="9">
        <v>21</v>
      </c>
      <c r="C77" s="9">
        <v>17</v>
      </c>
      <c r="D77" s="10">
        <f t="shared" si="2"/>
        <v>1.4780092592592593E-2</v>
      </c>
      <c r="E77" s="7">
        <v>24</v>
      </c>
      <c r="G77" s="16">
        <v>45510.425000000003</v>
      </c>
    </row>
    <row r="78" spans="1:7" x14ac:dyDescent="0.2">
      <c r="A78" s="9" t="s">
        <v>81</v>
      </c>
      <c r="B78" s="9">
        <v>19</v>
      </c>
      <c r="C78" s="9">
        <v>35</v>
      </c>
      <c r="D78" s="10">
        <f t="shared" si="2"/>
        <v>1.3599537037037037E-2</v>
      </c>
      <c r="E78" s="7">
        <v>24</v>
      </c>
      <c r="G78" s="16">
        <v>45510.464583333334</v>
      </c>
    </row>
    <row r="79" spans="1:7" x14ac:dyDescent="0.2">
      <c r="A79" s="9" t="s">
        <v>82</v>
      </c>
      <c r="B79" s="9">
        <v>68</v>
      </c>
      <c r="C79" s="9">
        <v>42</v>
      </c>
      <c r="D79" s="10">
        <f t="shared" si="2"/>
        <v>4.7708333333333332E-2</v>
      </c>
      <c r="E79" s="7">
        <v>24</v>
      </c>
      <c r="G79" s="16">
        <v>45519.630555555559</v>
      </c>
    </row>
    <row r="80" spans="1:7" x14ac:dyDescent="0.2">
      <c r="A80" s="9" t="s">
        <v>83</v>
      </c>
      <c r="B80" s="9">
        <v>49</v>
      </c>
      <c r="C80" s="9">
        <v>36</v>
      </c>
      <c r="D80" s="10">
        <f t="shared" si="2"/>
        <v>3.4444444444444444E-2</v>
      </c>
      <c r="E80" s="7">
        <v>25</v>
      </c>
      <c r="G80" s="16">
        <v>45510.604166666664</v>
      </c>
    </row>
    <row r="81" spans="1:7" x14ac:dyDescent="0.2">
      <c r="A81" s="9" t="s">
        <v>84</v>
      </c>
      <c r="B81" s="9">
        <v>29</v>
      </c>
      <c r="C81" s="9">
        <v>12</v>
      </c>
      <c r="D81" s="10">
        <f t="shared" si="2"/>
        <v>2.027777777777778E-2</v>
      </c>
      <c r="E81" s="7">
        <v>25</v>
      </c>
      <c r="G81" s="16">
        <v>45511.388888888891</v>
      </c>
    </row>
    <row r="82" spans="1:7" x14ac:dyDescent="0.2">
      <c r="A82" s="9" t="s">
        <v>85</v>
      </c>
      <c r="B82" s="9">
        <v>57</v>
      </c>
      <c r="C82" s="9">
        <v>24</v>
      </c>
      <c r="D82" s="10">
        <f t="shared" si="2"/>
        <v>3.9861111111111111E-2</v>
      </c>
      <c r="E82" s="7" t="s">
        <v>152</v>
      </c>
      <c r="G82" s="16">
        <v>45515.642361111109</v>
      </c>
    </row>
    <row r="83" spans="1:7" x14ac:dyDescent="0.2">
      <c r="A83" s="9" t="s">
        <v>86</v>
      </c>
      <c r="B83" s="9">
        <v>20</v>
      </c>
      <c r="C83" s="9">
        <v>33</v>
      </c>
      <c r="D83" s="10">
        <f t="shared" si="2"/>
        <v>1.4270833333333333E-2</v>
      </c>
      <c r="E83" s="7">
        <v>27</v>
      </c>
      <c r="G83" s="16">
        <v>45518.53402777778</v>
      </c>
    </row>
    <row r="84" spans="1:7" x14ac:dyDescent="0.2">
      <c r="A84" s="9" t="s">
        <v>87</v>
      </c>
      <c r="B84" s="9">
        <v>57</v>
      </c>
      <c r="C84" s="9">
        <v>23</v>
      </c>
      <c r="D84" s="10">
        <f t="shared" si="2"/>
        <v>3.9849537037037037E-2</v>
      </c>
      <c r="E84" s="7" t="s">
        <v>156</v>
      </c>
      <c r="F84" s="8" t="s">
        <v>157</v>
      </c>
      <c r="G84" s="34">
        <v>45517.592361111114</v>
      </c>
    </row>
    <row r="85" spans="1:7" x14ac:dyDescent="0.2">
      <c r="A85" s="9" t="s">
        <v>88</v>
      </c>
      <c r="B85" s="9">
        <v>59</v>
      </c>
      <c r="C85" s="9">
        <v>53</v>
      </c>
      <c r="D85" s="10">
        <f t="shared" si="2"/>
        <v>4.1585648148148149E-2</v>
      </c>
      <c r="E85" s="7" t="s">
        <v>156</v>
      </c>
      <c r="F85" s="8" t="s">
        <v>158</v>
      </c>
      <c r="G85" s="34">
        <v>45518.631249999999</v>
      </c>
    </row>
    <row r="86" spans="1:7" x14ac:dyDescent="0.2">
      <c r="A86" s="9" t="s">
        <v>89</v>
      </c>
      <c r="B86" s="9">
        <v>53</v>
      </c>
      <c r="C86" s="9">
        <v>52</v>
      </c>
      <c r="D86" s="10">
        <f t="shared" si="2"/>
        <v>3.740740740740741E-2</v>
      </c>
      <c r="E86" s="7" t="s">
        <v>159</v>
      </c>
      <c r="F86" t="s">
        <v>160</v>
      </c>
      <c r="G86" s="34">
        <v>45521.526388888888</v>
      </c>
    </row>
    <row r="87" spans="1:7" x14ac:dyDescent="0.2">
      <c r="A87" s="9" t="s">
        <v>90</v>
      </c>
      <c r="B87" s="9">
        <v>30</v>
      </c>
      <c r="C87" s="9">
        <v>7</v>
      </c>
      <c r="D87" s="10">
        <f t="shared" si="2"/>
        <v>2.0914351851851851E-2</v>
      </c>
      <c r="E87" s="7" t="s">
        <v>159</v>
      </c>
      <c r="F87" t="s">
        <v>118</v>
      </c>
      <c r="G87" s="34">
        <v>45521.72152777778</v>
      </c>
    </row>
    <row r="88" spans="1:7" x14ac:dyDescent="0.2">
      <c r="A88" s="9" t="s">
        <v>91</v>
      </c>
      <c r="B88" s="9">
        <v>16</v>
      </c>
      <c r="C88" s="9">
        <v>21</v>
      </c>
      <c r="D88" s="10">
        <f t="shared" si="2"/>
        <v>1.1354166666666667E-2</v>
      </c>
      <c r="E88" s="7" t="s">
        <v>153</v>
      </c>
      <c r="F88" t="s">
        <v>154</v>
      </c>
      <c r="G88" s="16">
        <v>45511.4375</v>
      </c>
    </row>
    <row r="89" spans="1:7" x14ac:dyDescent="0.2">
      <c r="A89" s="9" t="s">
        <v>92</v>
      </c>
      <c r="B89" s="9">
        <v>16</v>
      </c>
      <c r="C89" s="9">
        <v>32</v>
      </c>
      <c r="D89" s="10">
        <f t="shared" si="2"/>
        <v>1.1481481481481481E-2</v>
      </c>
      <c r="E89" s="7" t="s">
        <v>153</v>
      </c>
      <c r="F89" t="s">
        <v>155</v>
      </c>
      <c r="G89" s="16">
        <v>45511.479166666664</v>
      </c>
    </row>
    <row r="90" spans="1:7" x14ac:dyDescent="0.2">
      <c r="A90" s="9" t="s">
        <v>93</v>
      </c>
      <c r="B90" s="9">
        <v>54</v>
      </c>
      <c r="C90" s="9">
        <v>51</v>
      </c>
      <c r="D90" s="10">
        <f t="shared" si="2"/>
        <v>3.8090277777777778E-2</v>
      </c>
      <c r="E90" s="7">
        <v>30</v>
      </c>
      <c r="F90" t="s">
        <v>161</v>
      </c>
      <c r="G90" s="16">
        <v>45511.602777777778</v>
      </c>
    </row>
    <row r="91" spans="1:7" x14ac:dyDescent="0.2">
      <c r="A91" s="9" t="s">
        <v>94</v>
      </c>
      <c r="B91" s="9">
        <v>23</v>
      </c>
      <c r="C91" s="9">
        <v>54</v>
      </c>
      <c r="D91" s="10">
        <f t="shared" si="2"/>
        <v>1.6597222222222222E-2</v>
      </c>
      <c r="E91" s="7">
        <v>30</v>
      </c>
      <c r="F91" t="s">
        <v>162</v>
      </c>
      <c r="G91" s="16">
        <v>45511.69027777778</v>
      </c>
    </row>
    <row r="92" spans="1:7" x14ac:dyDescent="0.2">
      <c r="A92" s="9" t="s">
        <v>95</v>
      </c>
      <c r="B92" s="9">
        <v>44</v>
      </c>
      <c r="C92" s="9">
        <v>6</v>
      </c>
      <c r="D92" s="10">
        <f t="shared" si="2"/>
        <v>3.0624999999999999E-2</v>
      </c>
      <c r="E92" s="7">
        <v>30</v>
      </c>
      <c r="F92" t="s">
        <v>162</v>
      </c>
      <c r="G92" s="16">
        <v>45516.640972222223</v>
      </c>
    </row>
    <row r="93" spans="1:7" x14ac:dyDescent="0.2">
      <c r="A93" s="9" t="s">
        <v>96</v>
      </c>
      <c r="B93" s="9">
        <v>26</v>
      </c>
      <c r="C93" s="9">
        <v>30</v>
      </c>
      <c r="D93" s="10">
        <f t="shared" si="2"/>
        <v>1.8402777777777775E-2</v>
      </c>
      <c r="E93" s="7">
        <v>31</v>
      </c>
      <c r="G93" s="16">
        <v>45518.394444444442</v>
      </c>
    </row>
    <row r="94" spans="1:7" x14ac:dyDescent="0.2">
      <c r="A94" s="9" t="s">
        <v>97</v>
      </c>
      <c r="B94" s="9">
        <v>64</v>
      </c>
      <c r="C94" s="9">
        <v>17</v>
      </c>
      <c r="D94" s="10">
        <f t="shared" si="2"/>
        <v>4.4641203703703704E-2</v>
      </c>
      <c r="E94" s="7">
        <v>31</v>
      </c>
      <c r="G94" s="16">
        <v>45517.676388888889</v>
      </c>
    </row>
    <row r="95" spans="1:7" x14ac:dyDescent="0.2">
      <c r="A95" s="9" t="s">
        <v>98</v>
      </c>
      <c r="B95" s="9">
        <v>26</v>
      </c>
      <c r="C95" s="9">
        <v>22</v>
      </c>
      <c r="D95" s="10">
        <f t="shared" si="2"/>
        <v>1.8310185185185183E-2</v>
      </c>
      <c r="E95" s="7">
        <v>25</v>
      </c>
      <c r="G95" s="16">
        <v>45512.419444444444</v>
      </c>
    </row>
    <row r="96" spans="1:7" x14ac:dyDescent="0.2">
      <c r="A96" s="9" t="s">
        <v>99</v>
      </c>
      <c r="B96" s="9">
        <v>44</v>
      </c>
      <c r="C96" s="9">
        <v>10</v>
      </c>
      <c r="D96" s="10">
        <f t="shared" si="2"/>
        <v>3.0671296296296294E-2</v>
      </c>
      <c r="E96" s="7">
        <v>25</v>
      </c>
      <c r="G96" s="16">
        <v>45513.284722222219</v>
      </c>
    </row>
    <row r="97" spans="1:7" x14ac:dyDescent="0.2">
      <c r="A97" s="9" t="s">
        <v>100</v>
      </c>
      <c r="B97" s="9">
        <v>30</v>
      </c>
      <c r="C97" s="9">
        <v>43</v>
      </c>
      <c r="D97" s="10">
        <f t="shared" si="2"/>
        <v>2.1331018518518517E-2</v>
      </c>
      <c r="E97" s="7">
        <v>25</v>
      </c>
      <c r="G97" s="16">
        <v>45513.347222222219</v>
      </c>
    </row>
    <row r="98" spans="1:7" x14ac:dyDescent="0.2">
      <c r="A98" s="9" t="s">
        <v>101</v>
      </c>
      <c r="B98" s="9">
        <v>46</v>
      </c>
      <c r="C98" s="9">
        <v>16</v>
      </c>
      <c r="D98" s="10">
        <f t="shared" si="2"/>
        <v>3.2129629629629626E-2</v>
      </c>
      <c r="E98" s="7">
        <v>25</v>
      </c>
      <c r="G98" s="16">
        <v>45513.393750000003</v>
      </c>
    </row>
    <row r="99" spans="1:7" x14ac:dyDescent="0.2">
      <c r="A99" s="9" t="s">
        <v>102</v>
      </c>
      <c r="B99" s="9">
        <v>22</v>
      </c>
      <c r="C99" s="9">
        <v>24</v>
      </c>
      <c r="D99" s="10">
        <f t="shared" si="2"/>
        <v>1.5555555555555555E-2</v>
      </c>
      <c r="E99" s="7">
        <v>25</v>
      </c>
      <c r="G99" s="16">
        <v>45513.822222222225</v>
      </c>
    </row>
    <row r="100" spans="1:7" x14ac:dyDescent="0.2">
      <c r="A100" s="9" t="s">
        <v>103</v>
      </c>
      <c r="B100" s="9">
        <v>34</v>
      </c>
      <c r="C100" s="9">
        <v>42</v>
      </c>
      <c r="D100" s="10">
        <f t="shared" si="2"/>
        <v>2.4097222222222221E-2</v>
      </c>
      <c r="E100" s="7">
        <v>25</v>
      </c>
      <c r="G100" s="16">
        <v>45513.841666666667</v>
      </c>
    </row>
    <row r="101" spans="1:7" x14ac:dyDescent="0.2">
      <c r="A101" s="9" t="s">
        <v>104</v>
      </c>
      <c r="B101" s="9">
        <v>18</v>
      </c>
      <c r="C101" s="9">
        <v>30</v>
      </c>
      <c r="D101" s="10">
        <f t="shared" si="2"/>
        <v>1.2847222222222223E-2</v>
      </c>
      <c r="E101" s="7">
        <v>25</v>
      </c>
      <c r="G101" s="16">
        <v>45516.571527777778</v>
      </c>
    </row>
    <row r="102" spans="1:7" x14ac:dyDescent="0.2">
      <c r="A102" s="9" t="s">
        <v>105</v>
      </c>
      <c r="B102" s="9">
        <v>4</v>
      </c>
      <c r="C102" s="9">
        <v>54</v>
      </c>
      <c r="D102" s="10">
        <f t="shared" si="2"/>
        <v>3.402777777777778E-3</v>
      </c>
      <c r="E102" s="7">
        <v>25</v>
      </c>
      <c r="G102" s="16">
        <v>45512.626388888886</v>
      </c>
    </row>
    <row r="103" spans="1:7" x14ac:dyDescent="0.2">
      <c r="A103" s="12" t="str">
        <f>"总时长："&amp;TEXT(SUM(B:B)/1440+SUM(C:C)/86400,"[h]:mm:ss")</f>
        <v>总时长：59:26:30</v>
      </c>
    </row>
  </sheetData>
  <phoneticPr fontId="2" type="noConversion"/>
  <conditionalFormatting sqref="D6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{0882F448-B992-46E4-88B7-7C0CB9B74451}</x14:id>
        </ext>
      </extLst>
    </cfRule>
  </conditionalFormatting>
  <conditionalFormatting sqref="D60:D10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{F6572E1E-CD14-44B3-BF26-A700E8639B62}</x14:id>
        </ext>
      </extLst>
    </cfRule>
  </conditionalFormatting>
  <conditionalFormatting sqref="D61:D10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{6D724CD6-A7EB-4784-9844-943643959755}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82F448-B992-46E4-88B7-7C0CB9B744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D60</xm:sqref>
        </x14:conditionalFormatting>
        <x14:conditionalFormatting xmlns:xm="http://schemas.microsoft.com/office/excel/2006/main">
          <x14:cfRule type="dataBar" id="{F6572E1E-CD14-44B3-BF26-A700E8639B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D60:D102</xm:sqref>
        </x14:conditionalFormatting>
        <x14:conditionalFormatting xmlns:xm="http://schemas.microsoft.com/office/excel/2006/main">
          <x14:cfRule type="dataBar" id="{6D724CD6-A7EB-4784-9844-9436439597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D61:D102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EC7E4-DE23-4B64-BBA4-D51D8557ED81}">
  <dimension ref="A1:D52"/>
  <sheetViews>
    <sheetView topLeftCell="A31" workbookViewId="0">
      <selection activeCell="A52" sqref="A52"/>
    </sheetView>
  </sheetViews>
  <sheetFormatPr defaultRowHeight="14.25" x14ac:dyDescent="0.2"/>
  <cols>
    <col min="1" max="1" width="30.5" bestFit="1" customWidth="1"/>
  </cols>
  <sheetData>
    <row r="1" spans="1:4" x14ac:dyDescent="0.2">
      <c r="A1" s="1" t="s">
        <v>0</v>
      </c>
      <c r="B1" s="2" t="s">
        <v>1</v>
      </c>
      <c r="C1" s="2" t="s">
        <v>2</v>
      </c>
      <c r="D1" s="4" t="s">
        <v>3</v>
      </c>
    </row>
    <row r="2" spans="1:4" x14ac:dyDescent="0.2">
      <c r="A2" t="s">
        <v>149</v>
      </c>
      <c r="D2" s="31"/>
    </row>
    <row r="3" spans="1:4" x14ac:dyDescent="0.2">
      <c r="A3" s="8"/>
      <c r="B3" s="9">
        <v>7</v>
      </c>
      <c r="C3" s="9">
        <v>4</v>
      </c>
      <c r="D3" s="32">
        <f>B3/1440+C3/86400</f>
        <v>4.9074074074074072E-3</v>
      </c>
    </row>
    <row r="4" spans="1:4" x14ac:dyDescent="0.2">
      <c r="A4" s="9"/>
      <c r="B4" s="9">
        <v>4</v>
      </c>
      <c r="C4" s="9">
        <v>9</v>
      </c>
      <c r="D4" s="32">
        <f t="shared" ref="D4:D51" si="0">B4/1440+C4/86400</f>
        <v>2.8819444444444444E-3</v>
      </c>
    </row>
    <row r="5" spans="1:4" x14ac:dyDescent="0.2">
      <c r="B5">
        <v>5</v>
      </c>
      <c r="C5">
        <v>7</v>
      </c>
      <c r="D5" s="32">
        <f t="shared" si="0"/>
        <v>3.5532407407407405E-3</v>
      </c>
    </row>
    <row r="6" spans="1:4" x14ac:dyDescent="0.2">
      <c r="B6">
        <v>15</v>
      </c>
      <c r="C6">
        <v>1</v>
      </c>
      <c r="D6" s="32">
        <f t="shared" si="0"/>
        <v>1.042824074074074E-2</v>
      </c>
    </row>
    <row r="7" spans="1:4" x14ac:dyDescent="0.2">
      <c r="B7">
        <v>15</v>
      </c>
      <c r="C7">
        <v>30</v>
      </c>
      <c r="D7" s="32">
        <f t="shared" si="0"/>
        <v>1.0763888888888889E-2</v>
      </c>
    </row>
    <row r="8" spans="1:4" x14ac:dyDescent="0.2">
      <c r="B8">
        <v>11</v>
      </c>
      <c r="C8">
        <v>35</v>
      </c>
      <c r="D8" s="32">
        <f t="shared" si="0"/>
        <v>8.0439814814814818E-3</v>
      </c>
    </row>
    <row r="9" spans="1:4" x14ac:dyDescent="0.2">
      <c r="B9">
        <v>9</v>
      </c>
      <c r="C9">
        <v>57</v>
      </c>
      <c r="D9" s="32">
        <f t="shared" si="0"/>
        <v>6.9097222222222225E-3</v>
      </c>
    </row>
    <row r="10" spans="1:4" x14ac:dyDescent="0.2">
      <c r="B10">
        <v>6</v>
      </c>
      <c r="C10">
        <v>33</v>
      </c>
      <c r="D10" s="32">
        <f t="shared" si="0"/>
        <v>4.5486111111111109E-3</v>
      </c>
    </row>
    <row r="11" spans="1:4" x14ac:dyDescent="0.2">
      <c r="B11">
        <v>11</v>
      </c>
      <c r="C11">
        <v>40</v>
      </c>
      <c r="D11" s="32">
        <f t="shared" si="0"/>
        <v>8.1018518518518514E-3</v>
      </c>
    </row>
    <row r="12" spans="1:4" x14ac:dyDescent="0.2">
      <c r="B12">
        <v>10</v>
      </c>
      <c r="C12">
        <v>24</v>
      </c>
      <c r="D12" s="32">
        <f t="shared" si="0"/>
        <v>7.2222222222222219E-3</v>
      </c>
    </row>
    <row r="13" spans="1:4" x14ac:dyDescent="0.2">
      <c r="B13">
        <v>8</v>
      </c>
      <c r="C13">
        <v>39</v>
      </c>
      <c r="D13" s="32">
        <f t="shared" si="0"/>
        <v>6.006944444444445E-3</v>
      </c>
    </row>
    <row r="14" spans="1:4" x14ac:dyDescent="0.2">
      <c r="B14">
        <v>8</v>
      </c>
      <c r="C14">
        <v>20</v>
      </c>
      <c r="D14" s="32">
        <f t="shared" si="0"/>
        <v>5.7870370370370376E-3</v>
      </c>
    </row>
    <row r="15" spans="1:4" x14ac:dyDescent="0.2">
      <c r="B15">
        <v>7</v>
      </c>
      <c r="C15">
        <v>35</v>
      </c>
      <c r="D15" s="32">
        <f t="shared" si="0"/>
        <v>5.2662037037037035E-3</v>
      </c>
    </row>
    <row r="16" spans="1:4" x14ac:dyDescent="0.2">
      <c r="B16">
        <v>5</v>
      </c>
      <c r="C16">
        <v>2</v>
      </c>
      <c r="D16" s="32">
        <f t="shared" si="0"/>
        <v>3.49537037037037E-3</v>
      </c>
    </row>
    <row r="17" spans="1:4" x14ac:dyDescent="0.2">
      <c r="B17">
        <v>7</v>
      </c>
      <c r="C17">
        <v>29</v>
      </c>
      <c r="D17" s="32">
        <f t="shared" si="0"/>
        <v>5.1967592592592595E-3</v>
      </c>
    </row>
    <row r="18" spans="1:4" x14ac:dyDescent="0.2">
      <c r="B18">
        <v>19</v>
      </c>
      <c r="C18">
        <v>51</v>
      </c>
      <c r="D18" s="32">
        <f t="shared" si="0"/>
        <v>1.3784722222222223E-2</v>
      </c>
    </row>
    <row r="19" spans="1:4" x14ac:dyDescent="0.2">
      <c r="B19">
        <v>9</v>
      </c>
      <c r="C19">
        <v>37</v>
      </c>
      <c r="D19" s="32">
        <f t="shared" si="0"/>
        <v>6.6782407407407415E-3</v>
      </c>
    </row>
    <row r="20" spans="1:4" x14ac:dyDescent="0.2">
      <c r="B20">
        <v>10</v>
      </c>
      <c r="C20">
        <v>36</v>
      </c>
      <c r="D20" s="32">
        <f t="shared" si="0"/>
        <v>7.3611111111111108E-3</v>
      </c>
    </row>
    <row r="21" spans="1:4" x14ac:dyDescent="0.2">
      <c r="B21">
        <v>6</v>
      </c>
      <c r="C21">
        <v>32</v>
      </c>
      <c r="D21" s="32">
        <f t="shared" si="0"/>
        <v>4.5370370370370373E-3</v>
      </c>
    </row>
    <row r="22" spans="1:4" x14ac:dyDescent="0.2">
      <c r="B22">
        <v>6</v>
      </c>
      <c r="C22">
        <v>16</v>
      </c>
      <c r="D22" s="32">
        <f t="shared" si="0"/>
        <v>4.3518518518518515E-3</v>
      </c>
    </row>
    <row r="23" spans="1:4" x14ac:dyDescent="0.2">
      <c r="B23">
        <v>12</v>
      </c>
      <c r="C23">
        <v>4</v>
      </c>
      <c r="D23" s="32">
        <f t="shared" si="0"/>
        <v>8.3796296296296292E-3</v>
      </c>
    </row>
    <row r="24" spans="1:4" x14ac:dyDescent="0.2">
      <c r="A24" t="s">
        <v>150</v>
      </c>
      <c r="D24" s="32"/>
    </row>
    <row r="25" spans="1:4" x14ac:dyDescent="0.2">
      <c r="B25">
        <v>22</v>
      </c>
      <c r="C25">
        <v>36</v>
      </c>
      <c r="D25" s="32">
        <f t="shared" si="0"/>
        <v>1.5694444444444445E-2</v>
      </c>
    </row>
    <row r="26" spans="1:4" x14ac:dyDescent="0.2">
      <c r="B26">
        <v>7</v>
      </c>
      <c r="C26">
        <v>31</v>
      </c>
      <c r="D26" s="32">
        <f t="shared" si="0"/>
        <v>5.2199074074074075E-3</v>
      </c>
    </row>
    <row r="27" spans="1:4" x14ac:dyDescent="0.2">
      <c r="B27">
        <v>11</v>
      </c>
      <c r="C27">
        <v>22</v>
      </c>
      <c r="D27" s="32">
        <f t="shared" si="0"/>
        <v>7.8935185185185185E-3</v>
      </c>
    </row>
    <row r="28" spans="1:4" x14ac:dyDescent="0.2">
      <c r="B28">
        <v>19</v>
      </c>
      <c r="C28">
        <v>46</v>
      </c>
      <c r="D28" s="32">
        <f t="shared" si="0"/>
        <v>1.3726851851851851E-2</v>
      </c>
    </row>
    <row r="29" spans="1:4" x14ac:dyDescent="0.2">
      <c r="B29">
        <v>7</v>
      </c>
      <c r="C29">
        <v>27</v>
      </c>
      <c r="D29" s="32">
        <f t="shared" si="0"/>
        <v>5.1736111111111115E-3</v>
      </c>
    </row>
    <row r="30" spans="1:4" x14ac:dyDescent="0.2">
      <c r="B30">
        <v>32</v>
      </c>
      <c r="C30">
        <v>25</v>
      </c>
      <c r="D30" s="32">
        <f t="shared" si="0"/>
        <v>2.2511574074074076E-2</v>
      </c>
    </row>
    <row r="31" spans="1:4" x14ac:dyDescent="0.2">
      <c r="B31">
        <v>8</v>
      </c>
      <c r="C31">
        <v>6</v>
      </c>
      <c r="D31" s="32">
        <f t="shared" si="0"/>
        <v>5.6249999999999998E-3</v>
      </c>
    </row>
    <row r="32" spans="1:4" x14ac:dyDescent="0.2">
      <c r="B32">
        <v>18</v>
      </c>
      <c r="C32">
        <v>59</v>
      </c>
      <c r="D32" s="32">
        <f t="shared" si="0"/>
        <v>1.3182870370370371E-2</v>
      </c>
    </row>
    <row r="33" spans="1:4" x14ac:dyDescent="0.2">
      <c r="B33">
        <v>7</v>
      </c>
      <c r="C33">
        <v>6</v>
      </c>
      <c r="D33" s="32">
        <f t="shared" si="0"/>
        <v>4.9305555555555552E-3</v>
      </c>
    </row>
    <row r="34" spans="1:4" x14ac:dyDescent="0.2">
      <c r="B34">
        <v>8</v>
      </c>
      <c r="C34">
        <v>54</v>
      </c>
      <c r="D34" s="32">
        <f t="shared" si="0"/>
        <v>6.1805555555555555E-3</v>
      </c>
    </row>
    <row r="35" spans="1:4" x14ac:dyDescent="0.2">
      <c r="A35" t="s">
        <v>151</v>
      </c>
      <c r="D35" s="32"/>
    </row>
    <row r="36" spans="1:4" x14ac:dyDescent="0.2">
      <c r="B36">
        <v>18</v>
      </c>
      <c r="C36">
        <v>20</v>
      </c>
      <c r="D36" s="32">
        <f t="shared" si="0"/>
        <v>1.2731481481481483E-2</v>
      </c>
    </row>
    <row r="37" spans="1:4" x14ac:dyDescent="0.2">
      <c r="B37">
        <v>12</v>
      </c>
      <c r="C37">
        <v>10</v>
      </c>
      <c r="D37" s="32">
        <f t="shared" si="0"/>
        <v>8.4490740740740741E-3</v>
      </c>
    </row>
    <row r="38" spans="1:4" x14ac:dyDescent="0.2">
      <c r="B38">
        <v>18</v>
      </c>
      <c r="C38">
        <v>36</v>
      </c>
      <c r="D38" s="32">
        <f t="shared" si="0"/>
        <v>1.2916666666666667E-2</v>
      </c>
    </row>
    <row r="39" spans="1:4" x14ac:dyDescent="0.2">
      <c r="B39">
        <v>17</v>
      </c>
      <c r="C39">
        <v>4</v>
      </c>
      <c r="D39" s="32">
        <f t="shared" si="0"/>
        <v>1.1851851851851851E-2</v>
      </c>
    </row>
    <row r="40" spans="1:4" x14ac:dyDescent="0.2">
      <c r="B40">
        <v>12</v>
      </c>
      <c r="C40">
        <v>29</v>
      </c>
      <c r="D40" s="32">
        <f t="shared" si="0"/>
        <v>8.6689814814814806E-3</v>
      </c>
    </row>
    <row r="41" spans="1:4" x14ac:dyDescent="0.2">
      <c r="B41">
        <v>6</v>
      </c>
      <c r="C41">
        <v>10</v>
      </c>
      <c r="D41" s="32">
        <f t="shared" si="0"/>
        <v>4.2824074074074075E-3</v>
      </c>
    </row>
    <row r="42" spans="1:4" x14ac:dyDescent="0.2">
      <c r="B42">
        <v>18</v>
      </c>
      <c r="C42">
        <v>21</v>
      </c>
      <c r="D42" s="32">
        <f t="shared" si="0"/>
        <v>1.2743055555555556E-2</v>
      </c>
    </row>
    <row r="43" spans="1:4" x14ac:dyDescent="0.2">
      <c r="B43">
        <v>9</v>
      </c>
      <c r="C43">
        <v>54</v>
      </c>
      <c r="D43" s="32">
        <f t="shared" si="0"/>
        <v>6.875E-3</v>
      </c>
    </row>
    <row r="44" spans="1:4" x14ac:dyDescent="0.2">
      <c r="B44">
        <v>4</v>
      </c>
      <c r="C44">
        <v>19</v>
      </c>
      <c r="D44" s="32">
        <f t="shared" si="0"/>
        <v>2.9976851851851853E-3</v>
      </c>
    </row>
    <row r="45" spans="1:4" x14ac:dyDescent="0.2">
      <c r="B45">
        <v>13</v>
      </c>
      <c r="C45">
        <v>7</v>
      </c>
      <c r="D45" s="32">
        <f t="shared" si="0"/>
        <v>9.1087962962962954E-3</v>
      </c>
    </row>
    <row r="46" spans="1:4" x14ac:dyDescent="0.2">
      <c r="B46">
        <v>9</v>
      </c>
      <c r="C46">
        <v>24</v>
      </c>
      <c r="D46" s="32">
        <f t="shared" si="0"/>
        <v>6.5277777777777782E-3</v>
      </c>
    </row>
    <row r="47" spans="1:4" x14ac:dyDescent="0.2">
      <c r="B47">
        <v>6</v>
      </c>
      <c r="C47">
        <v>53</v>
      </c>
      <c r="D47" s="32">
        <f t="shared" si="0"/>
        <v>4.7800925925925927E-3</v>
      </c>
    </row>
    <row r="48" spans="1:4" x14ac:dyDescent="0.2">
      <c r="B48">
        <v>13</v>
      </c>
      <c r="C48">
        <v>46</v>
      </c>
      <c r="D48" s="32">
        <f t="shared" si="0"/>
        <v>9.5601851851851837E-3</v>
      </c>
    </row>
    <row r="49" spans="1:4" x14ac:dyDescent="0.2">
      <c r="B49">
        <v>7</v>
      </c>
      <c r="C49">
        <v>32</v>
      </c>
      <c r="D49" s="32">
        <f t="shared" si="0"/>
        <v>5.2314814814814819E-3</v>
      </c>
    </row>
    <row r="50" spans="1:4" x14ac:dyDescent="0.2">
      <c r="B50">
        <v>3</v>
      </c>
      <c r="C50">
        <v>12</v>
      </c>
      <c r="D50" s="32">
        <f t="shared" si="0"/>
        <v>2.2222222222222222E-3</v>
      </c>
    </row>
    <row r="51" spans="1:4" x14ac:dyDescent="0.2">
      <c r="B51">
        <v>7</v>
      </c>
      <c r="C51">
        <v>37</v>
      </c>
      <c r="D51" s="32">
        <f t="shared" si="0"/>
        <v>5.2893518518518524E-3</v>
      </c>
    </row>
    <row r="52" spans="1:4" x14ac:dyDescent="0.2">
      <c r="A52" s="33" t="str">
        <f>"总时长："&amp;TEXT(SUM(B:B)/1440+SUM(C:C)/86400,"[h]:mm:ss")</f>
        <v>总时长：8:42:07</v>
      </c>
      <c r="D52" s="31"/>
    </row>
  </sheetData>
  <phoneticPr fontId="2" type="noConversion"/>
  <conditionalFormatting sqref="D3:D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{908F0027-5011-421B-9574-223945F305D2}</x14:id>
        </ext>
      </extLst>
    </cfRule>
  </conditionalFormatting>
  <conditionalFormatting sqref="D25:D3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{08163F56-21D9-491C-AA18-59B01B57DA8B}</x14:id>
        </ext>
      </extLst>
    </cfRule>
  </conditionalFormatting>
  <conditionalFormatting sqref="D36:D5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{5765DE78-BEF4-45A3-A275-6D091A30A42F}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8F0027-5011-421B-9574-223945F305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D3:D23</xm:sqref>
        </x14:conditionalFormatting>
        <x14:conditionalFormatting xmlns:xm="http://schemas.microsoft.com/office/excel/2006/main">
          <x14:cfRule type="dataBar" id="{08163F56-21D9-491C-AA18-59B01B57DA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D25:D34</xm:sqref>
        </x14:conditionalFormatting>
        <x14:conditionalFormatting xmlns:xm="http://schemas.microsoft.com/office/excel/2006/main">
          <x14:cfRule type="dataBar" id="{5765DE78-BEF4-45A3-A275-6D091A30A4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D36:D51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47DF-685A-4CC1-8635-216508B2D709}">
  <sheetPr codeName="Sheet2"/>
  <dimension ref="B3:O47"/>
  <sheetViews>
    <sheetView showGridLines="0" workbookViewId="0">
      <selection activeCell="W28" sqref="W28"/>
    </sheetView>
  </sheetViews>
  <sheetFormatPr defaultRowHeight="14.25" x14ac:dyDescent="0.2"/>
  <cols>
    <col min="3" max="3" width="3" customWidth="1"/>
    <col min="5" max="6" width="5.5" customWidth="1"/>
    <col min="8" max="9" width="11.875" customWidth="1"/>
    <col min="11" max="12" width="6" style="17" customWidth="1"/>
    <col min="14" max="14" width="3" style="17" customWidth="1"/>
    <col min="15" max="15" width="9" style="17"/>
  </cols>
  <sheetData>
    <row r="3" spans="2:15" ht="15" thickBot="1" x14ac:dyDescent="0.25"/>
    <row r="4" spans="2:15" x14ac:dyDescent="0.2">
      <c r="B4" s="37" t="s">
        <v>140</v>
      </c>
      <c r="C4" s="38"/>
      <c r="E4" s="35" t="s">
        <v>121</v>
      </c>
      <c r="F4" s="36"/>
      <c r="H4" s="35" t="s">
        <v>144</v>
      </c>
      <c r="I4" s="36"/>
    </row>
    <row r="5" spans="2:15" ht="15" thickBot="1" x14ac:dyDescent="0.25">
      <c r="B5" s="19" t="s">
        <v>120</v>
      </c>
      <c r="C5" s="18"/>
      <c r="E5" s="23">
        <v>0</v>
      </c>
      <c r="F5" s="25"/>
      <c r="H5" s="23" t="s">
        <v>123</v>
      </c>
      <c r="I5" s="24" t="s">
        <v>131</v>
      </c>
    </row>
    <row r="6" spans="2:15" ht="15" thickBot="1" x14ac:dyDescent="0.25">
      <c r="E6" s="23">
        <v>1</v>
      </c>
      <c r="F6" s="25"/>
      <c r="H6" s="21" t="s">
        <v>129</v>
      </c>
      <c r="I6" s="29" t="s">
        <v>145</v>
      </c>
    </row>
    <row r="7" spans="2:15" ht="15" thickBot="1" x14ac:dyDescent="0.25">
      <c r="E7" s="23">
        <v>2</v>
      </c>
      <c r="F7" s="25"/>
    </row>
    <row r="8" spans="2:15" x14ac:dyDescent="0.2">
      <c r="E8" s="23">
        <v>3</v>
      </c>
      <c r="F8" s="25"/>
      <c r="H8" s="35" t="s">
        <v>142</v>
      </c>
      <c r="I8" s="36"/>
      <c r="K8" s="35" t="s">
        <v>121</v>
      </c>
      <c r="L8" s="36"/>
      <c r="N8" s="35" t="s">
        <v>143</v>
      </c>
      <c r="O8" s="36"/>
    </row>
    <row r="9" spans="2:15" ht="15" thickBot="1" x14ac:dyDescent="0.25">
      <c r="E9" s="23">
        <v>4</v>
      </c>
      <c r="F9" s="25"/>
      <c r="H9" s="23" t="s">
        <v>123</v>
      </c>
      <c r="I9" s="24" t="s">
        <v>124</v>
      </c>
      <c r="K9" s="23"/>
      <c r="L9" s="24">
        <v>0</v>
      </c>
      <c r="N9" s="21"/>
      <c r="O9" s="22" t="s">
        <v>120</v>
      </c>
    </row>
    <row r="10" spans="2:15" ht="15" thickBot="1" x14ac:dyDescent="0.25">
      <c r="E10" s="21">
        <v>5</v>
      </c>
      <c r="F10" s="20"/>
      <c r="H10" s="21" t="s">
        <v>129</v>
      </c>
      <c r="I10" s="22" t="s">
        <v>139</v>
      </c>
      <c r="K10" s="23"/>
      <c r="L10" s="24">
        <v>1</v>
      </c>
    </row>
    <row r="11" spans="2:15" ht="15" thickBot="1" x14ac:dyDescent="0.25">
      <c r="K11" s="23"/>
      <c r="L11" s="24">
        <v>2</v>
      </c>
    </row>
    <row r="12" spans="2:15" x14ac:dyDescent="0.2">
      <c r="B12" s="37" t="s">
        <v>127</v>
      </c>
      <c r="C12" s="38"/>
      <c r="E12" s="35" t="s">
        <v>121</v>
      </c>
      <c r="F12" s="36"/>
      <c r="H12" s="35" t="s">
        <v>137</v>
      </c>
      <c r="I12" s="36"/>
      <c r="K12" s="23"/>
      <c r="L12" s="24">
        <v>3</v>
      </c>
      <c r="N12"/>
      <c r="O12"/>
    </row>
    <row r="13" spans="2:15" ht="15" thickBot="1" x14ac:dyDescent="0.25">
      <c r="B13" s="19" t="s">
        <v>120</v>
      </c>
      <c r="C13" s="18"/>
      <c r="E13" s="23">
        <v>0</v>
      </c>
      <c r="F13" s="25"/>
      <c r="H13" s="23" t="s">
        <v>123</v>
      </c>
      <c r="I13" s="24" t="s">
        <v>124</v>
      </c>
      <c r="K13" s="21"/>
      <c r="L13" s="22">
        <v>4</v>
      </c>
      <c r="N13"/>
      <c r="O13"/>
    </row>
    <row r="14" spans="2:15" ht="15" thickBot="1" x14ac:dyDescent="0.25">
      <c r="E14" s="23">
        <v>1</v>
      </c>
      <c r="F14" s="25"/>
      <c r="H14" s="21" t="s">
        <v>129</v>
      </c>
      <c r="I14" s="22" t="s">
        <v>130</v>
      </c>
    </row>
    <row r="15" spans="2:15" ht="15" thickBot="1" x14ac:dyDescent="0.25">
      <c r="E15" s="23">
        <v>2</v>
      </c>
      <c r="F15" s="25"/>
    </row>
    <row r="16" spans="2:15" ht="15" thickBot="1" x14ac:dyDescent="0.25">
      <c r="E16" s="21">
        <v>3</v>
      </c>
      <c r="F16" s="20"/>
      <c r="H16" s="35" t="s">
        <v>135</v>
      </c>
      <c r="I16" s="36"/>
      <c r="K16" s="35" t="s">
        <v>121</v>
      </c>
      <c r="L16" s="36"/>
      <c r="N16" s="35" t="s">
        <v>133</v>
      </c>
      <c r="O16" s="36"/>
    </row>
    <row r="17" spans="2:15" ht="15" thickBot="1" x14ac:dyDescent="0.25">
      <c r="H17" s="26" t="s">
        <v>136</v>
      </c>
      <c r="I17" s="27" t="s">
        <v>133</v>
      </c>
      <c r="K17" s="23"/>
      <c r="L17" s="24">
        <v>0</v>
      </c>
      <c r="N17" s="21"/>
      <c r="O17" s="22" t="s">
        <v>120</v>
      </c>
    </row>
    <row r="18" spans="2:15" ht="15" thickBot="1" x14ac:dyDescent="0.25">
      <c r="H18" s="21" t="s">
        <v>129</v>
      </c>
      <c r="I18" s="22" t="s">
        <v>130</v>
      </c>
      <c r="K18" s="23"/>
      <c r="L18" s="24">
        <v>1</v>
      </c>
    </row>
    <row r="19" spans="2:15" ht="15" thickBot="1" x14ac:dyDescent="0.25">
      <c r="K19" s="21"/>
      <c r="L19" s="22">
        <v>2</v>
      </c>
    </row>
    <row r="20" spans="2:15" x14ac:dyDescent="0.2">
      <c r="B20" s="37" t="s">
        <v>119</v>
      </c>
      <c r="C20" s="38"/>
      <c r="E20" s="35" t="s">
        <v>121</v>
      </c>
      <c r="F20" s="36"/>
      <c r="H20" s="35" t="s">
        <v>138</v>
      </c>
      <c r="I20" s="36"/>
    </row>
    <row r="21" spans="2:15" ht="15" thickBot="1" x14ac:dyDescent="0.25">
      <c r="B21" s="19" t="s">
        <v>120</v>
      </c>
      <c r="C21" s="18"/>
      <c r="E21" s="23">
        <v>0</v>
      </c>
      <c r="F21" s="25"/>
      <c r="H21" s="23" t="s">
        <v>123</v>
      </c>
      <c r="I21" s="24" t="s">
        <v>124</v>
      </c>
    </row>
    <row r="22" spans="2:15" ht="15" thickBot="1" x14ac:dyDescent="0.25">
      <c r="E22" s="21">
        <v>1</v>
      </c>
      <c r="F22" s="20"/>
      <c r="H22" s="23" t="s">
        <v>129</v>
      </c>
      <c r="I22" s="24" t="s">
        <v>134</v>
      </c>
    </row>
    <row r="23" spans="2:15" ht="15" thickBot="1" x14ac:dyDescent="0.25">
      <c r="H23" s="21" t="s">
        <v>133</v>
      </c>
      <c r="I23" s="22" t="s">
        <v>128</v>
      </c>
    </row>
    <row r="24" spans="2:15" x14ac:dyDescent="0.2">
      <c r="H24" s="17"/>
      <c r="I24" s="17"/>
    </row>
    <row r="25" spans="2:15" ht="15" thickBot="1" x14ac:dyDescent="0.25">
      <c r="H25" s="17"/>
      <c r="I25" s="17"/>
    </row>
    <row r="26" spans="2:15" x14ac:dyDescent="0.2">
      <c r="H26" s="35" t="s">
        <v>122</v>
      </c>
      <c r="I26" s="36"/>
    </row>
    <row r="27" spans="2:15" x14ac:dyDescent="0.2">
      <c r="H27" s="23" t="s">
        <v>123</v>
      </c>
      <c r="I27" s="24" t="s">
        <v>124</v>
      </c>
    </row>
    <row r="28" spans="2:15" x14ac:dyDescent="0.2">
      <c r="H28" s="23" t="s">
        <v>124</v>
      </c>
      <c r="I28" s="24" t="s">
        <v>125</v>
      </c>
    </row>
    <row r="29" spans="2:15" x14ac:dyDescent="0.2">
      <c r="H29" s="23" t="s">
        <v>126</v>
      </c>
      <c r="I29" s="24" t="s">
        <v>125</v>
      </c>
    </row>
    <row r="30" spans="2:15" x14ac:dyDescent="0.2">
      <c r="H30" s="23" t="s">
        <v>131</v>
      </c>
      <c r="I30" s="24" t="s">
        <v>132</v>
      </c>
    </row>
    <row r="31" spans="2:15" x14ac:dyDescent="0.2">
      <c r="H31" s="23" t="s">
        <v>136</v>
      </c>
      <c r="I31" s="24" t="s">
        <v>125</v>
      </c>
    </row>
    <row r="32" spans="2:15" x14ac:dyDescent="0.2">
      <c r="H32" s="26" t="s">
        <v>140</v>
      </c>
      <c r="I32" s="27" t="s">
        <v>128</v>
      </c>
    </row>
    <row r="33" spans="8:9" x14ac:dyDescent="0.2">
      <c r="H33" s="28" t="s">
        <v>141</v>
      </c>
      <c r="I33" s="27" t="s">
        <v>128</v>
      </c>
    </row>
    <row r="34" spans="8:9" x14ac:dyDescent="0.2">
      <c r="H34" s="23" t="s">
        <v>119</v>
      </c>
      <c r="I34" s="24" t="s">
        <v>128</v>
      </c>
    </row>
    <row r="35" spans="8:9" ht="15" thickBot="1" x14ac:dyDescent="0.25">
      <c r="H35" s="21" t="s">
        <v>127</v>
      </c>
      <c r="I35" s="22" t="s">
        <v>128</v>
      </c>
    </row>
    <row r="37" spans="8:9" x14ac:dyDescent="0.2">
      <c r="H37" s="17"/>
      <c r="I37" s="17"/>
    </row>
    <row r="38" spans="8:9" x14ac:dyDescent="0.2">
      <c r="H38" s="17"/>
      <c r="I38" s="17"/>
    </row>
    <row r="39" spans="8:9" x14ac:dyDescent="0.2">
      <c r="H39" s="17"/>
      <c r="I39" s="17"/>
    </row>
    <row r="40" spans="8:9" x14ac:dyDescent="0.2">
      <c r="H40" s="17"/>
      <c r="I40" s="17"/>
    </row>
    <row r="41" spans="8:9" x14ac:dyDescent="0.2">
      <c r="H41" s="17"/>
      <c r="I41" s="17"/>
    </row>
    <row r="42" spans="8:9" x14ac:dyDescent="0.2">
      <c r="H42" s="17"/>
      <c r="I42" s="17"/>
    </row>
    <row r="43" spans="8:9" x14ac:dyDescent="0.2">
      <c r="H43" s="17"/>
      <c r="I43" s="17"/>
    </row>
    <row r="44" spans="8:9" x14ac:dyDescent="0.2">
      <c r="H44" s="17"/>
      <c r="I44" s="17"/>
    </row>
    <row r="45" spans="8:9" x14ac:dyDescent="0.2">
      <c r="H45" s="17"/>
      <c r="I45" s="17"/>
    </row>
    <row r="46" spans="8:9" x14ac:dyDescent="0.2">
      <c r="H46" s="17"/>
      <c r="I46" s="17"/>
    </row>
    <row r="47" spans="8:9" x14ac:dyDescent="0.2">
      <c r="H47" s="17"/>
      <c r="I47" s="17"/>
    </row>
  </sheetData>
  <mergeCells count="16">
    <mergeCell ref="B20:C20"/>
    <mergeCell ref="E20:F20"/>
    <mergeCell ref="H26:I26"/>
    <mergeCell ref="H20:I20"/>
    <mergeCell ref="H16:I16"/>
    <mergeCell ref="H12:I12"/>
    <mergeCell ref="K16:L16"/>
    <mergeCell ref="N16:O16"/>
    <mergeCell ref="E12:F12"/>
    <mergeCell ref="B12:C12"/>
    <mergeCell ref="H4:I4"/>
    <mergeCell ref="K8:L8"/>
    <mergeCell ref="N8:O8"/>
    <mergeCell ref="E4:F4"/>
    <mergeCell ref="B4:C4"/>
    <mergeCell ref="H8:I8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Vue3_new</vt:lpstr>
      <vt:lpstr>TypeScript开发实战</vt:lpstr>
      <vt:lpstr>env作用域链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 Winter</dc:creator>
  <cp:lastModifiedBy>Safe Winter</cp:lastModifiedBy>
  <dcterms:created xsi:type="dcterms:W3CDTF">2026-03-08T15:37:31Z</dcterms:created>
  <dcterms:modified xsi:type="dcterms:W3CDTF">2026-04-16T02:32:07Z</dcterms:modified>
</cp:coreProperties>
</file>